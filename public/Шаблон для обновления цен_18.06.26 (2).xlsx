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нструкция" sheetId="1" r:id="rId1" state="visible"/>
    <sheet name="Товары и цены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<sst xmlns="http://schemas.openxmlformats.org/spreadsheetml/2006/main" count="589" uniqueCount="589">
  <si>
    <t>Как работать с шаблоном</t>
  </si>
  <si>
    <t>1</t>
  </si>
  <si>
    <t>Скачивайте шаблон в личном кабинете</t>
  </si>
  <si>
    <t>Перед каждой загрузкой файла скачивайте новый шаблон в личном кабинете. Мы регулярно обновляем шаблон, чтобы он был максимально точным и удобным.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</si>
  <si>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</si>
  <si>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</si>
  <si>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Заполняйте поля только в синих столбцах</t>
  </si>
  <si>
    <t>На листе «Товары и цены»:
	1. Укажите новые цены или скидки. Если вы не хотите менять какую-то цену, оставьте ячейку пустой — для нее останется старое значение. Обновятся только значения заполненных ячеек. 
	2. Если вы хотите изменить текущую цену товара в большую сторону и удалить цену до скидки, необходимо указать новое значение цены в графу "Новая цена (со скидкой)", а в графу "Новая цена до скидки" установить 0. 
	3. Вы можете включить стратегию ценообразования «Следовать за рыночной ценой» — текущая цена будет автоматически меняться на рыночную. В графе "Автоматически применять самую выгодную цену" укажите: "ДА" — чтобы цена назначалась автоматически, "НЕТ" — чтобы цена не назначалась, или оставьте ячейку пустой — чтобы оставить настройки без изменения или не использовать автоматическое применение (если у вас нет настроек). Затем в столбце "Новая минимальная цена" укажите значение, меньше которого цена не может стать.</t>
  </si>
  <si>
    <t>Используемая валюта</t>
  </si>
  <si>
    <t>RUB</t>
  </si>
  <si>
    <t>Язык шаблона</t>
  </si>
  <si>
    <t>ru</t>
  </si>
  <si>
    <t>Основные характеристики товара</t>
  </si>
  <si>
    <t>Аналитика по продажам за 7 дней</t>
  </si>
  <si>
    <t>Текущие цены и скидки</t>
  </si>
  <si>
    <t>Рыночные цены</t>
  </si>
  <si>
    <t>Параметры ценовых индексов</t>
  </si>
  <si>
    <t>Комиссии и тарифы для текущей цены</t>
  </si>
  <si>
    <t>Новые цены</t>
  </si>
  <si>
    <t>Дополнительные настройки</t>
  </si>
  <si>
    <t>Артикул</t>
  </si>
  <si>
    <t>SKU</t>
  </si>
  <si>
    <t>Название товара</t>
  </si>
  <si>
    <t>Статус</t>
  </si>
  <si>
    <t>Видимость на OZON</t>
  </si>
  <si>
    <t>На складе Ozon</t>
  </si>
  <si>
    <t>На моих складах</t>
  </si>
  <si>
    <t>Объем, л</t>
  </si>
  <si>
    <t>Объемный вес, кг</t>
  </si>
  <si>
    <t>Штрихкод</t>
  </si>
  <si>
    <t>Заказано на сумму</t>
  </si>
  <si>
    <t>Показы всего</t>
  </si>
  <si>
    <t>Конверсия из показа в заказ</t>
  </si>
  <si>
    <t>Заказано товаров</t>
  </si>
  <si>
    <t>Цена до скидки, руб.</t>
  </si>
  <si>
    <t>Текущая цена (со скидкой), руб.</t>
  </si>
  <si>
    <t>Скидка, %</t>
  </si>
  <si>
    <t>Скидка, руб.</t>
  </si>
  <si>
    <t>Цена с учетом акции или стратегии, руб.</t>
  </si>
  <si>
    <t>Скидка с учетом акции, %</t>
  </si>
  <si>
    <t>Скидка с учетом акции, руб.</t>
  </si>
  <si>
    <t>НДС, %</t>
  </si>
  <si>
    <t>Минимальная цена, руб.</t>
  </si>
  <si>
    <t>Настройка "Учитывать минимальную цену при автодобавлении в акции"</t>
  </si>
  <si>
    <t>Осталось дней действия настройки "Учитывать минимальную цену при автодобавлении в акции"</t>
  </si>
  <si>
    <t>Настройка стратегии ценообразования «Удерживайте выгодную цену»</t>
  </si>
  <si>
    <t>Себестоимость</t>
  </si>
  <si>
    <t>Маржинальность по FBO</t>
  </si>
  <si>
    <t>Маржинальность по FBS</t>
  </si>
  <si>
    <t>Подключение подходящих акций</t>
  </si>
  <si>
    <t>Автодобавление товара в акции</t>
  </si>
  <si>
    <t>Рыночная цена на Ozon, руб.</t>
  </si>
  <si>
    <t>Рыночная цена конкурентов, руб.</t>
  </si>
  <si>
    <t>Моя цена на других площадках, руб.</t>
  </si>
  <si>
    <t>Ссылка на рыночную цену конкурентов</t>
  </si>
  <si>
    <t>Ссылка на рыночную цену на мои товары</t>
  </si>
  <si>
    <t>Индекс цен</t>
  </si>
  <si>
    <t>Ценовой индекс товара на Ozon</t>
  </si>
  <si>
    <t>Ценовой индекс товара на рынке</t>
  </si>
  <si>
    <t>Ценовой индекс товара на рынке на мои товары</t>
  </si>
  <si>
    <t>Эквайринг</t>
  </si>
  <si>
    <t>Вознаграждение Ozon, FBO, %</t>
  </si>
  <si>
    <t>Логистика Ozon, минимум, FBO</t>
  </si>
  <si>
    <t>Логистика Ozon, максимум, FBO</t>
  </si>
  <si>
    <t>Доставка до места выдачи, FBO</t>
  </si>
  <si>
    <t>Обработка нестандартного товара, FBO</t>
  </si>
  <si>
    <t>Вознаграждение Ozon, FBS, %</t>
  </si>
  <si>
    <t>Обработка отправления, минимум FBS</t>
  </si>
  <si>
    <t>Обработка отправления, максимум FBS</t>
  </si>
  <si>
    <t>Обработка нестандартного товара, FBS</t>
  </si>
  <si>
    <t>Логистика Ozon, минимум, FBS</t>
  </si>
  <si>
    <t>Логистика Ozon, максимум, FBS</t>
  </si>
  <si>
    <t>Доставка до места выдачи, FBS</t>
  </si>
  <si>
    <t>Новая цена до скидки, руб.</t>
  </si>
  <si>
    <t>Новая цена (со скидкой), руб.</t>
  </si>
  <si>
    <t>Новый НДС, %</t>
  </si>
  <si>
    <t>Новая себестоимость</t>
  </si>
  <si>
    <t>Стратегия ценообразования «Удерживайте выгодную цену»</t>
  </si>
  <si>
    <t>Новая минимальная цена, руб.</t>
  </si>
  <si>
    <t>Подключать подходящие акции</t>
  </si>
  <si>
    <t>Учитывать минимальную цену при автодобавлении в акции или продлить действие настройки</t>
  </si>
  <si>
    <t>Автоматически добавлять товар в акции</t>
  </si>
  <si>
    <t>Нередактируемое</t>
  </si>
  <si>
    <t>Редактируемое</t>
  </si>
  <si>
    <t>Общая стоимость заказанных товаров, включая отмены и возвраты. Для расчёта берём вашу цену</t>
  </si>
  <si>
    <t>Количество показов на всех страницах сайта</t>
  </si>
  <si>
    <t>Отношение количества заказов к количеству показов товара на всех страницах сайта</t>
  </si>
  <si>
    <t>Общее количество заказанных и оплаченных товаров. Количество возвращённых и отменёных товаров включено</t>
  </si>
  <si>
    <t>Цена отображается зачеркнутой.</t>
  </si>
  <si>
    <t>По этой цене товар продается на Ozon, если он не участвует в стратегии ценообразования или акции.</t>
  </si>
  <si>
    <t>Рассчитывается от цены до скидки и текущей цены.</t>
  </si>
  <si>
    <t>По этой цене товар продается на Ozon, если он участвует в стратегии ценообразования или акции (на момент скачивания шаблона).</t>
  </si>
  <si>
    <t>Рассчитывается от цены до скидки и цены с учетом акции.</t>
  </si>
  <si>
    <t>Цена не сможет стать ниже при автоматическом применении рыночной цены.</t>
  </si>
  <si>
    <t>Если указано "ДА", то для товара учитывается минимальная цена при автодобавлении в акции.</t>
  </si>
  <si>
    <t>По истечении данного срока минимальная цена перестанет учитываться при автодобавлении в акции.</t>
  </si>
  <si>
    <t>Если указано "ДА", то для товара включено автоматическое применение самой выгодной цены.</t>
  </si>
  <si>
    <t>Значение себестоимости товара без учёта расходов на Ozon</t>
  </si>
  <si>
    <t>Рассчитали автоматически с учётом вашей цены, себестоимости и расходов по схеме FBO</t>
  </si>
  <si>
    <t>Рассчитали автоматически с учётом вашей цены, себестоимости и расходов по схеме FBS</t>
  </si>
  <si>
    <t>Если указано "ДА", то для товара включено автоматическое добавление во все доступные акции Ozon.</t>
  </si>
  <si>
    <t>Если указано "ДА", то для товара включено автоматическое добавление в акции.</t>
  </si>
  <si>
    <t>Минимальная цена на Ozon (на момент скачивания шаблона).</t>
  </si>
  <si>
    <t>Минимальная цена конкурентов на других площадках (на момент скачивания шаблона).</t>
  </si>
  <si>
    <t>Ваша минимальная цена на других площадках (на момент скачивания шаблона).</t>
  </si>
  <si>
    <t>Ссылка на предложение на другой площадке (на момент скачивания шаблона).</t>
  </si>
  <si>
    <t>Расчетный показатель, показывающий текущую ситуацию с рыночными ценами товара.</t>
  </si>
  <si>
    <t>Расчетный показатель отклонения ваших цен на Озон от цен других продавцов на Ozon. Максимальное значение - 1,99, минимальное значение - 0,01.</t>
  </si>
  <si>
    <t>Расчетный показатель отклонения ваших цен на Озон от цен других продавцов на других площадках. Максимальное значение - 1,99, минимальное значение - 0,01.</t>
  </si>
  <si>
    <t>Расчетный показатель отклонения ваших цен на Озон от ваших цен на других площадках. Максимальное значение - 1,99, минимальное значение - 0,01.</t>
  </si>
  <si>
    <t>Столько максимально будет стоить комиссия за безналичные платежи от покупателей. Тариф устанавливает банк.</t>
  </si>
  <si>
    <t>Зависит от категории товара и схемы продажи.</t>
  </si>
  <si>
    <t>Зависит от объёма, цены товара и конкретного направления доставки.</t>
  </si>
  <si>
    <t>Зависит от объёма, цены товара и конкретного направления доставки. Учитываем максимальную наценку за нелокальную продажу.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</si>
  <si>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</si>
  <si>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Применяется к товарам, для обработки которых нужны особые условия.</t>
  </si>
  <si>
    <t>Столько минимально будет стоить отгрузка отправления в пункте приёма.</t>
  </si>
  <si>
    <t>Столько максимально будет стоить отгрузка отправления в пункте приёма.</t>
  </si>
  <si>
    <t>Цена будет отображаться зачеркнутой.</t>
  </si>
  <si>
    <t>По этой цене товар будет продаваться на Ozon.
Если товар участвует в стратегии ценообразования — сохраним цену, но обновим её, когда отключите стратегию.</t>
  </si>
  <si>
    <t>Рассчитывается по ценам до скидки и со скидкой.</t>
  </si>
  <si>
    <t>Укажите себестоимость, чтобы узнать примерную маржинальность товара. Себестоимость — сумма всех затрат на производство или закупку товара, включая материалы и прочие издержки — без учёта затрат на площадке.</t>
  </si>
  <si>
    <t>Выберите "ДА", чтобы автоматически применять самую выгодную цену для товара.  Выберите "НЕТ", чтобы отказаться от  применения. Оставьте ячейку пустой, чтобы оставить настройки без изменения или не использовать автоматическое применение — если у вас нет настроек.</t>
  </si>
  <si>
    <t>Укажите значение, меньше которого цена не сможет стать. Это значение не может быть больше текущей цены.</t>
  </si>
  <si>
    <t>Выберите "ДА", чтобы автоматически добавлять товар во все доступные акции Ozon. Цена не опустится ниже минимальной. Выберите "НЕТ", чтобы отключить настройку. Ничего не указывайте, если ячейка пустая, и вы не хотите включать настройку.</t>
  </si>
  <si>
    <t>Выберите "ДА", чтобы включить настройку или продлить её действие. Тогда цена товара не опустится ниже указанной минимальной. Выберите "НЕТ", чтобы отключить настройку.</t>
  </si>
  <si>
    <t>Выберите "ДА", чтобы автоматически добавлять товары в акции. Выберите "НЕТ", чтобы отключить автодобавление. Ничего не указывайте, если ячейка пустая, и вы не хотите отключать автодобавление.</t>
  </si>
  <si>
    <t>6-25-38-39. Тапочки синие</t>
  </si>
  <si>
    <t>Тапочки домашние женские мех оретекс меховые теплые мягкие из овчины</t>
  </si>
  <si>
    <t>Продается</t>
  </si>
  <si>
    <t>да</t>
  </si>
  <si>
    <t>4610085640945</t>
  </si>
  <si>
    <t>22</t>
  </si>
  <si>
    <t>ДА</t>
  </si>
  <si>
    <t>29</t>
  </si>
  <si>
    <t>331</t>
  </si>
  <si>
    <t>18%</t>
  </si>
  <si>
    <t>8%</t>
  </si>
  <si>
    <t>НЕТ</t>
  </si>
  <si>
    <t>https://wildberries.ru/catalog/73568665/detail.aspx</t>
  </si>
  <si>
    <t>Невыгодный</t>
  </si>
  <si>
    <t>6-25-40-41. Тапочки синие</t>
  </si>
  <si>
    <t>4610085640952</t>
  </si>
  <si>
    <t>336</t>
  </si>
  <si>
    <t>2-90-80-30-Жилет-Детский-Голубой</t>
  </si>
  <si>
    <t>Жилет детский Мех ОРЕТЕКС Овечья шерсть</t>
  </si>
  <si>
    <t>2028783646640</t>
  </si>
  <si>
    <t>0 (не учитывается)</t>
  </si>
  <si>
    <t>700</t>
  </si>
  <si>
    <t>-12%</t>
  </si>
  <si>
    <t>-18%</t>
  </si>
  <si>
    <t>6-285-8Ж-38-39. Тапочки серые</t>
  </si>
  <si>
    <t>4610085641607</t>
  </si>
  <si>
    <t>321</t>
  </si>
  <si>
    <t>19%</t>
  </si>
  <si>
    <t>9%</t>
  </si>
  <si>
    <t>https://wildberries.ru/catalog/137956621/detail.aspx</t>
  </si>
  <si>
    <t>6-285-8Ж-40-41. Тапочки серые</t>
  </si>
  <si>
    <t>4610085641614</t>
  </si>
  <si>
    <t>325</t>
  </si>
  <si>
    <t>6-285-8Ж-42-43. Тапочки серые</t>
  </si>
  <si>
    <t>4610085643465</t>
  </si>
  <si>
    <t>328</t>
  </si>
  <si>
    <t>6-285-8Ж-44-45. Тапочки серые</t>
  </si>
  <si>
    <t>4610085643472</t>
  </si>
  <si>
    <t>332</t>
  </si>
  <si>
    <t>6-285-4/1ЖН-34-35. Тапочки бежевые</t>
  </si>
  <si>
    <t>4610085642222</t>
  </si>
  <si>
    <t>313</t>
  </si>
  <si>
    <t>6-285-4/1ЖН-36-37. Тапочки бежевые</t>
  </si>
  <si>
    <t>4610085643168</t>
  </si>
  <si>
    <t>316</t>
  </si>
  <si>
    <t>17%</t>
  </si>
  <si>
    <t>7%</t>
  </si>
  <si>
    <t>https://wildberries.ru/catalog/124045488/detail.aspx</t>
  </si>
  <si>
    <t>6-285-4/1ЖН-38-39. Тапочки бежевые</t>
  </si>
  <si>
    <t>4610085643175</t>
  </si>
  <si>
    <t>10%</t>
  </si>
  <si>
    <t>6-285-4/1ЖН-40-41. Тапочки бежевые</t>
  </si>
  <si>
    <t>4610085643182</t>
  </si>
  <si>
    <t>16%</t>
  </si>
  <si>
    <t>6%</t>
  </si>
  <si>
    <t>6-285-4/1ЖН-42-43. Тапочки бежевые</t>
  </si>
  <si>
    <t>4610085643991</t>
  </si>
  <si>
    <t>6-285-4/1ЖН-44-45. Тапочки бежевые</t>
  </si>
  <si>
    <t>4610085644004</t>
  </si>
  <si>
    <t>333</t>
  </si>
  <si>
    <t>15%</t>
  </si>
  <si>
    <t>5%</t>
  </si>
  <si>
    <t>6-285-1ЖН-34-35. Тапочки белые</t>
  </si>
  <si>
    <t>4610085642239</t>
  </si>
  <si>
    <t>20%</t>
  </si>
  <si>
    <t>https://wildberries.ru/catalog/123783530/detail.aspx</t>
  </si>
  <si>
    <t>6-285-1ЖН-36-37. Тапочки белые</t>
  </si>
  <si>
    <t>4610085643229</t>
  </si>
  <si>
    <t>6-285-1ЖН-38-39. Тапочки белые</t>
  </si>
  <si>
    <t>4610085643236</t>
  </si>
  <si>
    <t>6-285-1ЖН-40-41. Тапочки белые</t>
  </si>
  <si>
    <t>4610085643243</t>
  </si>
  <si>
    <t>6-285-1ЖН-42-43. Тапочки белые</t>
  </si>
  <si>
    <t>4610085643205</t>
  </si>
  <si>
    <t>6-285-1ЖН-44-45. Тапочки белые</t>
  </si>
  <si>
    <t>4610085644479</t>
  </si>
  <si>
    <t>6-285-4-38-39. Тапочки шампань</t>
  </si>
  <si>
    <t>4610085644097</t>
  </si>
  <si>
    <t>https://wildberries.ru/catalog/151775828/detail.aspx</t>
  </si>
  <si>
    <t>6-285-4-40-41. Тапочки шампань</t>
  </si>
  <si>
    <t>4610085644103</t>
  </si>
  <si>
    <t>6-285-4-36-37. Тапочки шампань</t>
  </si>
  <si>
    <t>4610085644073</t>
  </si>
  <si>
    <t>317</t>
  </si>
  <si>
    <t>6-285-4-42-43. Тапочки шампань</t>
  </si>
  <si>
    <t>4610085644110</t>
  </si>
  <si>
    <t>330</t>
  </si>
  <si>
    <t>6-285-4-44-45. Тапочки шампань</t>
  </si>
  <si>
    <t>4610085644127</t>
  </si>
  <si>
    <t>6-285-15/1Ж-40-41. Тапочки розовые</t>
  </si>
  <si>
    <t>4610085642093</t>
  </si>
  <si>
    <t>340</t>
  </si>
  <si>
    <t>https://wildberries.ru/catalog/94828944/detail.aspx</t>
  </si>
  <si>
    <t>6-285-10/1Ж-40-41. Тапочки салатовые</t>
  </si>
  <si>
    <t>4610085641942</t>
  </si>
  <si>
    <t>https://wildberries.ru/catalog/94828946/detail.aspx</t>
  </si>
  <si>
    <t>6-285-15/1Ж-36-37. Тапочки розовые</t>
  </si>
  <si>
    <t>4610085642079</t>
  </si>
  <si>
    <t>6-285-7Ж-40-41. Тапочки голубые</t>
  </si>
  <si>
    <t>4610085642048</t>
  </si>
  <si>
    <t>https://wildberries.ru/catalog/94828943/detail.aspx</t>
  </si>
  <si>
    <t>6-285-10ЖН-38-39. Тапочки зеленые</t>
  </si>
  <si>
    <t>4610085643373</t>
  </si>
  <si>
    <t>326</t>
  </si>
  <si>
    <t>https://wildberries.ru/catalog/132441127/detail.aspx</t>
  </si>
  <si>
    <t>6-205ЛЕО-40-41. Тапочки леопард</t>
  </si>
  <si>
    <t>4610085643731</t>
  </si>
  <si>
    <t>346</t>
  </si>
  <si>
    <t>https://wildberries.ru/catalog/152141850/detail.aspx</t>
  </si>
  <si>
    <t>6-285-10ЖН-40-41. Тапочки зеленые</t>
  </si>
  <si>
    <t>4610085643380</t>
  </si>
  <si>
    <t>6-285-10/1Ж-36-37. Тапочки салатовые</t>
  </si>
  <si>
    <t>4610085641744</t>
  </si>
  <si>
    <t>6-285-7Ж-42-43. Тапочки голубые</t>
  </si>
  <si>
    <t>4610085642055</t>
  </si>
  <si>
    <t>334</t>
  </si>
  <si>
    <t>6-285-13Ж-40-41. Тапочки желтые</t>
  </si>
  <si>
    <t>4610085641997</t>
  </si>
  <si>
    <t>https://wildberries.ru/catalog/94828945/detail.aspx</t>
  </si>
  <si>
    <t>6-205ЛЕО-38-39. Тапочки леопард</t>
  </si>
  <si>
    <t>4610085643724</t>
  </si>
  <si>
    <t>6-285-13Ж-36-37. Тапочки желтые</t>
  </si>
  <si>
    <t>4610085641973</t>
  </si>
  <si>
    <t>6-285-7Ж-38-39. Тапочки голубые</t>
  </si>
  <si>
    <t>4610085642031</t>
  </si>
  <si>
    <t>6-285-13Ж-38-39. Тапочки желтые</t>
  </si>
  <si>
    <t>4610085641980</t>
  </si>
  <si>
    <t>6-285-10/1Ж-38-39. Тапочки салатовые</t>
  </si>
  <si>
    <t>4610085641751</t>
  </si>
  <si>
    <t>6-205ЛЕО-42-43. Тапочки леопард</t>
  </si>
  <si>
    <t>4610085643748</t>
  </si>
  <si>
    <t>351</t>
  </si>
  <si>
    <t>6-285-15/1Ж-38-39. Тапочки розовые</t>
  </si>
  <si>
    <t>4610085642086</t>
  </si>
  <si>
    <t>335</t>
  </si>
  <si>
    <t>6-285-12-38-39. Тапочки оранжевые</t>
  </si>
  <si>
    <t>4610085644509</t>
  </si>
  <si>
    <t>320</t>
  </si>
  <si>
    <t>https://wildberries.ru/catalog/155312601/detail.aspx</t>
  </si>
  <si>
    <t>6-285-12-36-37. Тапочки оранжевые</t>
  </si>
  <si>
    <t>4610085644493</t>
  </si>
  <si>
    <t>6-285-12-40-41. Тапочки оранжевые</t>
  </si>
  <si>
    <t>4610085644516</t>
  </si>
  <si>
    <t>6-285-2/1-34-35. Тапочки светло-коричневые</t>
  </si>
  <si>
    <t>4610085644080</t>
  </si>
  <si>
    <t>https://wildberries.ru/catalog/155311906/detail.aspx</t>
  </si>
  <si>
    <t>6-285-14-38-39. Тапочки алые</t>
  </si>
  <si>
    <t>4610085644325</t>
  </si>
  <si>
    <t>345</t>
  </si>
  <si>
    <t>https://wildberries.ru/catalog/155312798/detail.aspx</t>
  </si>
  <si>
    <t>6-285-14-40-41. Тапочки алые</t>
  </si>
  <si>
    <t>4610085644332</t>
  </si>
  <si>
    <t>352</t>
  </si>
  <si>
    <t>6-285-18-38-39. Тапочки фиолетовые</t>
  </si>
  <si>
    <t>4610085644387</t>
  </si>
  <si>
    <t>https://wildberries.ru/catalog/155314127/detail.aspx</t>
  </si>
  <si>
    <t>6-285-2/1-36-37. Тапочки светло-коричневые</t>
  </si>
  <si>
    <t>4610085644196</t>
  </si>
  <si>
    <t>6-285-2/1-38-39. Тапочки светло-коричневые</t>
  </si>
  <si>
    <t>4610085644202</t>
  </si>
  <si>
    <t>6-285-2/1-40-41. Тапочки светло-коричневые</t>
  </si>
  <si>
    <t>4610085644219</t>
  </si>
  <si>
    <t>https://wildberries.ru/catalog/94388189/detail.aspx</t>
  </si>
  <si>
    <t>6-285-2/1-44-45. Тапочки светло-коричневые</t>
  </si>
  <si>
    <t>4610085644233</t>
  </si>
  <si>
    <t>6-285-2/1-42-43. Тапочки светло-коричневые</t>
  </si>
  <si>
    <t>4610085644226</t>
  </si>
  <si>
    <t>6-285-6/1-38-39. Тапочки темно-синие</t>
  </si>
  <si>
    <t>4610085644622</t>
  </si>
  <si>
    <t>343</t>
  </si>
  <si>
    <t>https://wildberries.ru/catalog/155312265/detail.aspx</t>
  </si>
  <si>
    <t>6-285-6/1-42-43. Тапочки темно-синие</t>
  </si>
  <si>
    <t>4610085644646</t>
  </si>
  <si>
    <t>354</t>
  </si>
  <si>
    <t>6-285-6/1-40-41. Тапочки темно-синие</t>
  </si>
  <si>
    <t>4610085644639</t>
  </si>
  <si>
    <t>350</t>
  </si>
  <si>
    <t>6-285-6/1-44-45. Тапочки темно-синие</t>
  </si>
  <si>
    <t>4610085644653</t>
  </si>
  <si>
    <t>360</t>
  </si>
  <si>
    <t>6-285-8/1-36-37. Тапочки светло-серые</t>
  </si>
  <si>
    <t>4610085644257</t>
  </si>
  <si>
    <t>322</t>
  </si>
  <si>
    <t>https://wildberries.ru/catalog/155312482/detail.aspx</t>
  </si>
  <si>
    <t>6-285-8/1-40-41. Тапочки светло-серые</t>
  </si>
  <si>
    <t>4610085644271</t>
  </si>
  <si>
    <t>6-285-8/1-42-43. Тапочки светло-серые</t>
  </si>
  <si>
    <t>4610085644288</t>
  </si>
  <si>
    <t>6-285-8/1-44-45. Тапочки светло-серые</t>
  </si>
  <si>
    <t>4610085644295</t>
  </si>
  <si>
    <t>6-285-8/1-38-39. Тапочки светло-серые</t>
  </si>
  <si>
    <t>4610085644264</t>
  </si>
  <si>
    <t>327</t>
  </si>
  <si>
    <t>2-372-52-54. Жилет коричневый</t>
  </si>
  <si>
    <t>Жилет женский утепленный безрукавка теплая меховая модная</t>
  </si>
  <si>
    <t>4607097081750</t>
  </si>
  <si>
    <t>831</t>
  </si>
  <si>
    <t>32%</t>
  </si>
  <si>
    <t>26%</t>
  </si>
  <si>
    <t>https://wildberries.ru/catalog/123131707/detail.aspx</t>
  </si>
  <si>
    <t>Супер-выгодный</t>
  </si>
  <si>
    <t>2-374-44-46. Жилет коричневый</t>
  </si>
  <si>
    <t>4607097081774</t>
  </si>
  <si>
    <t>787</t>
  </si>
  <si>
    <t>33%</t>
  </si>
  <si>
    <t>27%</t>
  </si>
  <si>
    <t>2-373-48-50. Жилет коричневый</t>
  </si>
  <si>
    <t>4607097081767</t>
  </si>
  <si>
    <t>829</t>
  </si>
  <si>
    <t>2-370-60-62. Жилет коричневый</t>
  </si>
  <si>
    <t>4607097081736</t>
  </si>
  <si>
    <t>835</t>
  </si>
  <si>
    <t>2-371-56-58. Жилет коричневый</t>
  </si>
  <si>
    <t>4607097081743</t>
  </si>
  <si>
    <t>832</t>
  </si>
  <si>
    <t>2-104Н-44-46. Жилет лоскут</t>
  </si>
  <si>
    <t>4610085644042</t>
  </si>
  <si>
    <t>843</t>
  </si>
  <si>
    <t>31%</t>
  </si>
  <si>
    <t>24%</t>
  </si>
  <si>
    <t>https://wildberries.ru/catalog/149442817/detail.aspx</t>
  </si>
  <si>
    <t>2-101Н-56-58. Жилет лоскут</t>
  </si>
  <si>
    <t>4610085644011</t>
  </si>
  <si>
    <t>898</t>
  </si>
  <si>
    <t>29%</t>
  </si>
  <si>
    <t>23%</t>
  </si>
  <si>
    <t>2-100Н-60-62. Жилет лоскут</t>
  </si>
  <si>
    <t>4610085644059</t>
  </si>
  <si>
    <t>901</t>
  </si>
  <si>
    <t>30%</t>
  </si>
  <si>
    <t>https://wildberries.ru/catalog/202130547/detail.aspx</t>
  </si>
  <si>
    <t>2-103Н-48-50. Жилет лоскут</t>
  </si>
  <si>
    <t>4610085644035</t>
  </si>
  <si>
    <t>893</t>
  </si>
  <si>
    <t>2-102Н-52-54. Жилет лоскут</t>
  </si>
  <si>
    <t>4610085644028</t>
  </si>
  <si>
    <t>897</t>
  </si>
  <si>
    <t>6-205ЛОС-38-39. Тапочки лоскут</t>
  </si>
  <si>
    <t>4610085643847</t>
  </si>
  <si>
    <t>https://wildberries.ru/catalog/161222772/detail.aspx</t>
  </si>
  <si>
    <t>6-205ЛОС-40-41. Тапочки лоскут</t>
  </si>
  <si>
    <t>4610085643854</t>
  </si>
  <si>
    <t>6-1013-4/3-40. Тапочки крест кэмел</t>
  </si>
  <si>
    <t>4610085649917</t>
  </si>
  <si>
    <t>357</t>
  </si>
  <si>
    <t>https://wildberries.ru/catalog/230489730/detail.aspx</t>
  </si>
  <si>
    <t>6-1013-1-38. Тапочки крест белый</t>
  </si>
  <si>
    <t>4670212970031</t>
  </si>
  <si>
    <t>https://wildberries.ru/catalog/230488776/detail.aspx</t>
  </si>
  <si>
    <t>6-1023-15/5-38. Тапочки шир. полоса светло-розовый</t>
  </si>
  <si>
    <t>4670212973438</t>
  </si>
  <si>
    <t>https://wildberries.ru/catalog/230490633/detail.aspx</t>
  </si>
  <si>
    <t>6-1023-15-38. Тапочки шир. полоса пудровый</t>
  </si>
  <si>
    <t>4670212970154</t>
  </si>
  <si>
    <t>https://wildberries.ru/catalog/230490295/detail.aspx</t>
  </si>
  <si>
    <t>6-1013-1-40. Тапочки крест белый</t>
  </si>
  <si>
    <t>4670212970048</t>
  </si>
  <si>
    <t>349</t>
  </si>
  <si>
    <t>6-1013-15/5-40. Тапочки крест светло-розовый</t>
  </si>
  <si>
    <t>4670212973322</t>
  </si>
  <si>
    <t>373</t>
  </si>
  <si>
    <t>https://wildberries.ru/catalog/230489729/detail.aspx</t>
  </si>
  <si>
    <t>6-1023-15/5-40. Тапочки шир. полоса светло-розовый</t>
  </si>
  <si>
    <t>4670212973445</t>
  </si>
  <si>
    <t>6-1013-15-40. Тапочки крест пудровый</t>
  </si>
  <si>
    <t>4610085649856</t>
  </si>
  <si>
    <t>355</t>
  </si>
  <si>
    <t>https://wildberries.ru/catalog/230489727/detail.aspx</t>
  </si>
  <si>
    <t>6-1023-4/3-40. Тапочки шир. полоса кэмел</t>
  </si>
  <si>
    <t>4670212970222</t>
  </si>
  <si>
    <t>337</t>
  </si>
  <si>
    <t>https://wildberries.ru/catalog/230490634/detail.aspx</t>
  </si>
  <si>
    <t>6-1013-15/5-38. Тапочки крест светло-розовый</t>
  </si>
  <si>
    <t>4670212973315</t>
  </si>
  <si>
    <t>365</t>
  </si>
  <si>
    <t>6-1013-4/3-38. Тапочки крест кэмел</t>
  </si>
  <si>
    <t>4610085649900</t>
  </si>
  <si>
    <t>6-1013-15-38. Тапочки крест пудровый</t>
  </si>
  <si>
    <t>4610085649849</t>
  </si>
  <si>
    <t>6-1023-15-40. Тапочки шир. полоса пудровый</t>
  </si>
  <si>
    <t>4670212970161</t>
  </si>
  <si>
    <t>6-1023-4/3-38. Тапочки шир. полоса кэмел</t>
  </si>
  <si>
    <t>4670212970215</t>
  </si>
  <si>
    <t>6-205АРЛ-40-41. Тапочки арлекино</t>
  </si>
  <si>
    <t>4610085643915</t>
  </si>
  <si>
    <t>https://wildberries.ru/catalog/174376107/detail.aspx</t>
  </si>
  <si>
    <t>6-205АРЛ-38-39. Тапочки арлекино</t>
  </si>
  <si>
    <t>4610085643908</t>
  </si>
  <si>
    <t>353</t>
  </si>
  <si>
    <t>6-285-5-44-45. Тапочки черные</t>
  </si>
  <si>
    <t>4670212971533</t>
  </si>
  <si>
    <t>347</t>
  </si>
  <si>
    <t>https://wildberries.ru/catalog/202052900/detail.aspx</t>
  </si>
  <si>
    <t>6-285-5-42-43. Тапочки черные</t>
  </si>
  <si>
    <t>4670212971526</t>
  </si>
  <si>
    <t>342</t>
  </si>
  <si>
    <t>https://wildberries.ru/catalog/253498498/detail.aspx</t>
  </si>
  <si>
    <t>6-835-4-38-39. Чуни шампань</t>
  </si>
  <si>
    <t>Чуни домашние женские мех оретекс меховые теплые мягкие из овчины</t>
  </si>
  <si>
    <t>4610085644561</t>
  </si>
  <si>
    <t>460</t>
  </si>
  <si>
    <t>https://wildberries.ru/catalog/155314317/detail.aspx</t>
  </si>
  <si>
    <t>Выгодный</t>
  </si>
  <si>
    <t>6-835-15/1-38-39. Чуни розовые</t>
  </si>
  <si>
    <t>Готов к продаже</t>
  </si>
  <si>
    <t>4610085642826</t>
  </si>
  <si>
    <t>490</t>
  </si>
  <si>
    <t>6-835-4-36-37. Чуни шампань</t>
  </si>
  <si>
    <t>4610085644554</t>
  </si>
  <si>
    <t>448</t>
  </si>
  <si>
    <t>6-835-6-38-39. Чуни синие</t>
  </si>
  <si>
    <t>4610085641089</t>
  </si>
  <si>
    <t>481</t>
  </si>
  <si>
    <t>6-835-8-44-45. Чуни серые</t>
  </si>
  <si>
    <t>4610085641164</t>
  </si>
  <si>
    <t>479</t>
  </si>
  <si>
    <t>6-835-4-40-41. Чуни шампань</t>
  </si>
  <si>
    <t>4610085644578</t>
  </si>
  <si>
    <t>465</t>
  </si>
  <si>
    <t>6-835-4/1-38-39. Чуни темно-бежевые</t>
  </si>
  <si>
    <t>4610085642581</t>
  </si>
  <si>
    <t>458</t>
  </si>
  <si>
    <t>https://wildberries.ru/catalog/177508303/detail.aspx</t>
  </si>
  <si>
    <t>6-835-7-38-39. Чуни голубые</t>
  </si>
  <si>
    <t>4610085642949</t>
  </si>
  <si>
    <t>469</t>
  </si>
  <si>
    <t>6-835-4-42-43. Чуни шампань</t>
  </si>
  <si>
    <t>4610085644585</t>
  </si>
  <si>
    <t>474</t>
  </si>
  <si>
    <t>6-835-10/1-38-39. Чуни салатовые</t>
  </si>
  <si>
    <t>4610085642642</t>
  </si>
  <si>
    <t>6-835-4/1-42-43. Чуни темно-бежевые</t>
  </si>
  <si>
    <t>4610085642604</t>
  </si>
  <si>
    <t>473</t>
  </si>
  <si>
    <t>6-835-1-38-39. Чуни белые</t>
  </si>
  <si>
    <t>4610085642888</t>
  </si>
  <si>
    <t>https://wildberries.ru/catalog/126910269/detail.aspx</t>
  </si>
  <si>
    <t>6-835-8-42-43. Чуни серые</t>
  </si>
  <si>
    <t>4610085641157</t>
  </si>
  <si>
    <t>472</t>
  </si>
  <si>
    <t>6-835-4/1-40-41. Чуни темно-бежевые</t>
  </si>
  <si>
    <t>4610085642598</t>
  </si>
  <si>
    <t>464</t>
  </si>
  <si>
    <t>6-285-10ЖН-42-43. Тапочки зеленые</t>
  </si>
  <si>
    <t>4610085645490</t>
  </si>
  <si>
    <t>2-380-44-46. Жилет коричневый с воротом</t>
  </si>
  <si>
    <t>4607097081828</t>
  </si>
  <si>
    <t>25%</t>
  </si>
  <si>
    <t>2-380-52-54. Жилет коричневый с воротом</t>
  </si>
  <si>
    <t>4607097081804</t>
  </si>
  <si>
    <t>903</t>
  </si>
  <si>
    <t>2-380-48-50. Жилет коричневый с воротом</t>
  </si>
  <si>
    <t>4607097081811</t>
  </si>
  <si>
    <t>https://wildberries.ru/catalog/34715085/detail.aspx</t>
  </si>
  <si>
    <t>2-380-60-62. Жилет коричневый с воротом</t>
  </si>
  <si>
    <t>4607097081781</t>
  </si>
  <si>
    <t>941</t>
  </si>
  <si>
    <t>2-380-56-58. Жилет коричневый с воротом</t>
  </si>
  <si>
    <t>4607097081798</t>
  </si>
  <si>
    <t>920</t>
  </si>
  <si>
    <t>6-СП-285-4/1-38. Тапочки силиконовые темно-бежевые</t>
  </si>
  <si>
    <t>4670212974664</t>
  </si>
  <si>
    <t>6-СП-285-4/1-42. Тапочки силиконовые темно-бежевые</t>
  </si>
  <si>
    <t>4670212974671</t>
  </si>
  <si>
    <t>6-СП-285-1-38. Тапочки силиконовые белые</t>
  </si>
  <si>
    <t>4670212974640</t>
  </si>
  <si>
    <t>6-СП-285-1-42. Тапочки силиконовые белые</t>
  </si>
  <si>
    <t>4670212974657</t>
  </si>
  <si>
    <t>6-М-285-4-38. Тапочки на микропоре шампань</t>
  </si>
  <si>
    <t>4670212976538</t>
  </si>
  <si>
    <t>https://wildberries.ru/catalog/281381508/detail.aspx</t>
  </si>
  <si>
    <t>6-М-285-4-40. Тапочки на микропоре шампань</t>
  </si>
  <si>
    <t>4670212976545</t>
  </si>
  <si>
    <t>329</t>
  </si>
  <si>
    <t>6-М-285-4-42. Тапочки на микропоре шампань</t>
  </si>
  <si>
    <t>4670212976552</t>
  </si>
  <si>
    <t>6-М-285-4/1-38. Тапочки на микропоре темно-бежевые</t>
  </si>
  <si>
    <t>4670212976590</t>
  </si>
  <si>
    <t>324</t>
  </si>
  <si>
    <t>https://wildberries.ru/catalog/281381509/detail.aspx</t>
  </si>
  <si>
    <t>6-М-285-4/1-40. Тапочки на микропоре темно-бежевые</t>
  </si>
  <si>
    <t>4670212976606</t>
  </si>
  <si>
    <t>6-М-285-4/1-42. Тапочки на микропоре темно-бежевые</t>
  </si>
  <si>
    <t>4670212976613</t>
  </si>
  <si>
    <t>18-13-G117-52. Рубашка клетка голубая</t>
  </si>
  <si>
    <t>Рубашка женская теплая оверсайз в клетку, фланелевая рубашка длинная</t>
  </si>
  <si>
    <t>4680796200486</t>
  </si>
  <si>
    <t>2880</t>
  </si>
  <si>
    <t>1%</t>
  </si>
  <si>
    <t>-6%</t>
  </si>
  <si>
    <t>https://wildberries.ru/catalog/383496795/detail.aspx</t>
  </si>
  <si>
    <t>18-13-G118-48. Рубашка клетка зеленая</t>
  </si>
  <si>
    <t>4680796200387</t>
  </si>
  <si>
    <t>https://wildberries.ru/catalog/383441241/detail.aspx</t>
  </si>
  <si>
    <t>18-13-G117-54. Рубашка клетка голубая</t>
  </si>
  <si>
    <t>4680796200493</t>
  </si>
  <si>
    <t>18-13-G118-50. Рубашка клетка зеленая</t>
  </si>
  <si>
    <t>4680796200394</t>
  </si>
  <si>
    <t>18-13-G118-54. Рубашка клетка зеленая</t>
  </si>
  <si>
    <t>4680796200417</t>
  </si>
  <si>
    <t>18-13-G117-48. Рубашка клетка голубая</t>
  </si>
  <si>
    <t>4680796200462</t>
  </si>
  <si>
    <t>18-13-G120-50. Рубашка клетка желтая</t>
  </si>
  <si>
    <t>4680796202213</t>
  </si>
  <si>
    <t>https://wildberries.ru/catalog/686697945/detail.aspx</t>
  </si>
  <si>
    <t>Умеренный</t>
  </si>
  <si>
    <t>18-13-G117-50. Рубашка клетка голубая</t>
  </si>
  <si>
    <t>4680796200479</t>
  </si>
  <si>
    <t>18-13-G120-48. Рубашка клетка желтая</t>
  </si>
  <si>
    <t>4680796202206</t>
  </si>
  <si>
    <t>6-121-H214-38. Носки следы</t>
  </si>
  <si>
    <t>Следки меховые из овечьей шерсти короткие теплые носки</t>
  </si>
  <si>
    <t>4680796200134</t>
  </si>
  <si>
    <t>442</t>
  </si>
  <si>
    <t>-3%</t>
  </si>
  <si>
    <t>-10%</t>
  </si>
  <si>
    <t>https://wildberries.ru/catalog/549166273/detail.aspx</t>
  </si>
  <si>
    <t>6-124-H214-40. Носки высокие</t>
  </si>
  <si>
    <t>Носки высокие меховые из овечьей шерсти теплые чуни</t>
  </si>
  <si>
    <t>4680796200196</t>
  </si>
  <si>
    <t>https://wildberries.ru/catalog/546702533/detail.aspx</t>
  </si>
  <si>
    <t>6-121-H214-40. Носки следы</t>
  </si>
  <si>
    <t>4680796200141</t>
  </si>
  <si>
    <t>6-124-H214-38. Носки высокие</t>
  </si>
  <si>
    <t>4680796200189</t>
  </si>
  <si>
    <t>18-13-G120-54. Рубашка клетка желтая</t>
  </si>
  <si>
    <t>4680796202237</t>
  </si>
  <si>
    <t>-2%</t>
  </si>
  <si>
    <t>-8%</t>
  </si>
  <si>
    <t>18-13-G118-44. Рубашка клетка зеленая</t>
  </si>
  <si>
    <t>4680796204033</t>
  </si>
  <si>
    <t>18-13-G118-46. Рубашка клетка зеленая</t>
  </si>
  <si>
    <t>4680796200370</t>
  </si>
  <si>
    <t>18-13-G120-52. Рубашка клетка желтая</t>
  </si>
  <si>
    <t>4680796202220</t>
  </si>
  <si>
    <t>18-13-G118-52. Рубашка клетка зеленая</t>
  </si>
  <si>
    <t>4680796200400</t>
  </si>
  <si>
    <t>6-281ВВ-38. Тапочки вторичка серые</t>
  </si>
  <si>
    <t>4610085647784</t>
  </si>
  <si>
    <t>233</t>
  </si>
  <si>
    <t>22%</t>
  </si>
  <si>
    <t>12%</t>
  </si>
  <si>
    <t>6-281ВВ-44. Тапочки вторичка серые</t>
  </si>
  <si>
    <t>4610085647814</t>
  </si>
  <si>
    <t>240</t>
  </si>
  <si>
    <t>6-281ВВ-40. Тапочки вторичка серые</t>
  </si>
  <si>
    <t>4610085647791</t>
  </si>
  <si>
    <t>235</t>
  </si>
  <si>
    <t>21%</t>
  </si>
  <si>
    <t>6-281ВВ-42. Тапочки вторичка серые</t>
  </si>
  <si>
    <t>4610085647807</t>
  </si>
  <si>
    <t>237</t>
  </si>
  <si>
    <t>18-13-G120-44. Рубашка клетка желтая</t>
  </si>
  <si>
    <t>4680796204057</t>
  </si>
  <si>
    <t>-36%</t>
  </si>
  <si>
    <t>-42%</t>
  </si>
  <si>
    <t>18-13-G117-46. Рубашка клетка голубая</t>
  </si>
  <si>
    <t>4680796200455</t>
  </si>
  <si>
    <t>18-13-G120-46. Рубашка клетка желтая</t>
  </si>
  <si>
    <t>4680796202190</t>
  </si>
  <si>
    <t>18-13-G117-44. Рубашка клетка голубая</t>
  </si>
  <si>
    <t>4680796204040</t>
  </si>
</sst>
</file>

<file path=xl/styles.xml><?xml version="1.0" encoding="utf-8"?>
<styleSheet xmlns="http://schemas.openxmlformats.org/spreadsheetml/2006/main">
  <fonts count="11">
    <font>
      <sz val="12"/>
      <name val="Verdana"/>
      <family val="0"/>
      <charset val="0"/>
    </font>
    <font>
      <sz val="20"/>
      <name val="Calibri"/>
      <family val="0"/>
      <charset val="0"/>
      <color rgb="000000"/>
    </font>
    <font>
      <sz val="1"/>
      <name val="Calibri"/>
      <family val="0"/>
      <charset val="0"/>
      <color rgb="FFFFFF"/>
    </font>
    <font>
      <sz val="16"/>
      <name val="Calibri"/>
      <family val="0"/>
      <charset val="0"/>
      <color rgb="000000"/>
      <b/>
    </font>
    <font>
      <sz val="14"/>
      <name val="Calibri"/>
      <family val="0"/>
      <charset val="0"/>
      <color rgb="000000"/>
    </font>
    <font>
      <sz val="20"/>
      <name val="Calibri"/>
      <family val="0"/>
      <charset val="0"/>
      <color rgb="000000"/>
      <b/>
    </font>
    <font>
      <sz val="12"/>
      <name val="Arial"/>
      <family val="0"/>
      <charset val="0"/>
      <color rgb="48525A"/>
      <b/>
    </font>
    <font>
      <sz val="12"/>
      <name val="Arial"/>
      <family val="0"/>
      <charset val="0"/>
      <color rgb="255AF6"/>
      <b/>
    </font>
    <font>
      <sz val="12"/>
      <name val="Arial"/>
      <family val="0"/>
      <charset val="0"/>
      <color rgb="48525A"/>
    </font>
    <font>
      <sz val="12"/>
      <name val="Arial"/>
      <family val="0"/>
      <charset val="0"/>
      <color rgb="255AF6"/>
    </font>
    <font>
      <sz val="10"/>
      <name val="Arial"/>
      <family val="0"/>
      <charset val="0"/>
      <color rgb="6D7A88"/>
    </font>
  </fonts>
  <fills count="7">
    <fill>
      <patternFill patternType="none"/>
    </fill>
    <fill>
      <patternFill patternType="lightGray"/>
    </fill>
    <fill>
      <patternFill patternType="solid">
        <fgColor rgb="EEEDE2"/>
        <bgColor rgb="EEEDE2"/>
      </patternFill>
    </fill>
    <fill>
      <patternFill patternType="solid">
        <fgColor rgb="D9D9D9"/>
        <bgColor rgb="D9D9D9"/>
      </patternFill>
    </fill>
    <fill>
      <patternFill patternType="solid">
        <fgColor rgb="FFFFFF"/>
        <bgColor rgb="FFFFFF"/>
      </patternFill>
    </fill>
    <fill>
      <patternFill patternType="solid">
        <fgColor rgb="F6F8FB"/>
        <bgColor rgb="F6F8FB"/>
      </patternFill>
    </fill>
    <fill>
      <patternFill patternType="solid">
        <fgColor rgb="E9F4FE"/>
        <bgColor rgb="E9F4FE"/>
      </patternFill>
    </fill>
  </fills>
  <borders count="6">
    <border>
      <left style="none"/>
      <right style="none"/>
      <top style="none"/>
      <bottom style="none"/>
    </border>
    <border>
      <left style=""/>
      <right style="thin">
        <color rgb="000000"/>
      </right>
      <top style=""/>
      <bottom style=""/>
    </border>
    <border>
      <left style=""/>
      <right style=""/>
      <top style=""/>
      <bottom style=""/>
    </border>
    <border>
      <left style=""/>
      <right style="thin">
        <color rgb="000000"/>
      </right>
      <top style=""/>
      <bottom style="thin">
        <color rgb="000000"/>
      </bottom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</border>
    <border>
      <left style=""/>
      <right style=""/>
      <top style=""/>
      <bottom style="thin">
        <color rgb="C0C7CD"/>
      </bottom>
    </border>
  </borders>
  <cellXfs count="1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general" indent="0" shrinkToFit="0" textRotation="0" vertical="center" wrapText="1"/>
    </xf>
    <xf applyAlignment="1" applyBorder="0" applyFont="1" applyFill="0" applyNumberFormat="0" applyProtection="0" borderId="2" fillId="0" fontId="2" numFmtID="0">
      <alignment horizontal="general" indent="0" shrinkToFit="0" textRotation="0" vertical="center" wrapText="1"/>
    </xf>
    <xf applyAlignment="1" applyBorder="1" applyFont="1" applyFill="1" applyNumberFormat="0" applyProtection="0" borderId="1" fillId="3" fontId="3" numFmtID="0">
      <alignment horizontal="general" indent="0" shrinkToFit="0" textRotation="0" vertical="center" wrapText="1"/>
    </xf>
    <xf applyAlignment="1" applyBorder="1" applyFont="1" applyFill="1" applyNumberFormat="0" applyProtection="0" borderId="1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3" fontId="5" numFmtID="0">
      <alignment horizontal="general" indent="0" shrinkToFit="0" textRotation="0" vertical="center" wrapText="1"/>
    </xf>
    <xf applyAlignment="1" applyBorder="1" applyFont="1" applyFill="1" applyNumberFormat="0" applyProtection="0" borderId="4" fillId="5" fontId="6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7" numFmtID="0">
      <alignment horizontal="left" indent="1" shrinkToFit="0" textRotation="0" vertical="top" wrapText="1"/>
    </xf>
    <xf applyAlignment="1" applyBorder="1" applyFont="1" applyFill="1" applyNumberFormat="0" applyProtection="0" borderId="4" fillId="5" fontId="8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9" numFmtID="0">
      <alignment horizontal="left" indent="1" shrinkToFit="0" textRotation="0" vertical="top" wrapText="1"/>
    </xf>
    <xf applyAlignment="1" applyBorder="1" applyFont="1" applyFill="0" applyNumberFormat="0" applyProtection="0" borderId="4" fillId="0" fontId="10" numFmtID="0">
      <alignment horizontal="left" indent="1" shrinkToFit="0" textRotation="0" vertical="top" wrapText="1"/>
    </xf>
    <xf applyAlignment="1" applyBorder="1" applyFont="1" applyFill="0" applyNumberFormat="0" applyProtection="0" borderId="5" fillId="0" fontId="8" numFmtID="0">
      <alignment horizontal="left" indent="1" shrinkToFit="0" textRotation="0" vertical="top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2" customWidth="true"/>
    <col collapsed="false" hidden="false" max="2" min="2" style="1" width="12" customWidth="true"/>
    <col collapsed="false" hidden="false" max="3" min="3" style="1" width="12" customWidth="true"/>
    <col collapsed="false" hidden="false" max="4" min="4" style="1" width="12" customWidth="true"/>
    <col collapsed="false" hidden="false" max="5" min="5" style="1" width="12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9.5"/>
  </cols>
  <sheetData>
    <row r="1" ht="29" customHeight="true">
      <c r="A1" s="2" t="s">
        <v>0</v>
      </c>
      <c r="B1" s="2" t="s"/>
      <c r="C1" s="2" t="s"/>
      <c r="D1" s="2" t="s"/>
      <c r="E1" s="2" t="s"/>
      <c r="F1" s="2" t="s"/>
      <c r="G1" s="2" t="s"/>
      <c r="H1" s="3" t="s">
        <v>1</v>
      </c>
    </row>
    <row r="2" ht="25" customHeight="true">
      <c r="A2" s="4" t="s">
        <v>2</v>
      </c>
      <c r="B2" s="4" t="s"/>
      <c r="C2" s="4" t="s"/>
      <c r="D2" s="4" t="s"/>
      <c r="E2" s="4" t="s"/>
      <c r="F2" s="4" t="s"/>
      <c r="G2" s="4" t="s"/>
    </row>
    <row r="3" ht="67" customHeight="true">
      <c r="A3" s="5" t="s">
        <v>3</v>
      </c>
      <c r="B3" s="5" t="s"/>
      <c r="C3" s="5" t="s"/>
      <c r="D3" s="5" t="s"/>
      <c r="E3" s="5" t="s"/>
      <c r="F3" s="5" t="s"/>
      <c r="G3" s="5" t="s"/>
    </row>
    <row r="4" ht="25" customHeight="true">
      <c r="A4" s="4" t="s">
        <v>4</v>
      </c>
      <c r="B4" s="4" t="s"/>
      <c r="C4" s="4" t="s"/>
      <c r="D4" s="4" t="s"/>
      <c r="E4" s="4" t="s"/>
      <c r="F4" s="4" t="s"/>
      <c r="G4" s="4" t="s"/>
    </row>
    <row r="5" ht="28" customHeight="true">
      <c r="A5" s="5" t="s">
        <v>5</v>
      </c>
      <c r="B5" s="5" t="s"/>
      <c r="C5" s="5" t="s"/>
      <c r="D5" s="5" t="s"/>
      <c r="E5" s="5" t="s"/>
      <c r="F5" s="5" t="s"/>
      <c r="G5" s="5" t="s"/>
    </row>
    <row r="6" ht="25" customHeight="true">
      <c r="A6" s="4" t="s">
        <v>6</v>
      </c>
      <c r="B6" s="4" t="s"/>
      <c r="C6" s="4" t="s"/>
      <c r="D6" s="4" t="s"/>
      <c r="E6" s="4" t="s"/>
      <c r="F6" s="4" t="s"/>
      <c r="G6" s="4" t="s"/>
    </row>
    <row r="7" ht="290" customHeight="true">
      <c r="A7" s="6" t="s">
        <v>7</v>
      </c>
      <c r="B7" s="6" t="s"/>
      <c r="C7" s="6" t="s"/>
      <c r="D7" s="6" t="s"/>
      <c r="E7" s="6" t="s"/>
      <c r="F7" s="6" t="s"/>
      <c r="G7" s="6" t="s"/>
    </row>
    <row r="8" ht="25" customHeight="true">
      <c r="A8" s="7" t="s">
        <v>8</v>
      </c>
      <c r="B8" s="7" t="s"/>
      <c r="C8" s="7" t="s"/>
      <c r="D8" s="7" t="s"/>
      <c r="E8" s="7" t="s"/>
      <c r="F8" s="7" t="s">
        <v>9</v>
      </c>
      <c r="G8" s="7" t="s"/>
    </row>
    <row r="9" ht="25" customHeight="true">
      <c r="A9" s="7" t="s">
        <v>10</v>
      </c>
      <c r="B9" s="7" t="s"/>
      <c r="C9" s="7" t="s"/>
      <c r="D9" s="7" t="s"/>
      <c r="E9" s="7" t="s"/>
      <c r="F9" s="7" t="s">
        <v>11</v>
      </c>
      <c r="G9" s="7" t="s"/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E8"/>
    <mergeCell ref="F8:G8"/>
    <mergeCell ref="A9:E9"/>
    <mergeCell ref="F9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BK1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top" state="frozen"/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  <col collapsed="false" hidden="false" max="4" min="4" style="1" width="20" customWidth="true"/>
    <col collapsed="false" hidden="false" max="5" min="5" style="1" width="20" customWidth="true"/>
    <col collapsed="false" hidden="false" max="6" min="6" style="1" width="20" customWidth="true"/>
    <col collapsed="false" hidden="false" max="7" min="7" style="1" width="20" customWidth="true"/>
    <col collapsed="false" hidden="false" max="8" min="8" style="1" width="20" customWidth="true"/>
    <col collapsed="false" hidden="false" max="9" min="9" style="1" width="20" customWidth="true"/>
    <col collapsed="false" hidden="false" max="10" min="10" style="1" width="20" customWidth="true"/>
    <col collapsed="false" hidden="false" max="11" min="11" style="1" width="20" customWidth="true"/>
    <col collapsed="false" hidden="false" max="12" min="12" style="1" width="20" customWidth="true"/>
    <col collapsed="false" hidden="false" max="13" min="13" style="1" width="20" customWidth="true"/>
    <col collapsed="false" hidden="false" max="14" min="14" style="1" width="20" customWidth="true"/>
    <col collapsed="false" hidden="false" max="15" min="15" style="1" width="20" customWidth="true"/>
    <col collapsed="false" hidden="false" max="16" min="16" style="1" width="20" customWidth="true"/>
    <col collapsed="false" hidden="false" max="17" min="17" style="1" width="20" customWidth="true"/>
    <col collapsed="false" hidden="false" max="18" min="18" style="1" width="20" customWidth="true"/>
    <col collapsed="false" hidden="false" max="19" min="19" style="1" width="20" customWidth="true"/>
    <col collapsed="false" hidden="false" max="20" min="20" style="1" width="20" customWidth="true"/>
    <col collapsed="false" hidden="false" max="21" min="21" style="1" width="20" customWidth="true"/>
    <col collapsed="false" hidden="false" max="22" min="22" style="1" width="20" customWidth="true"/>
    <col collapsed="false" hidden="false" max="23" min="23" style="1" width="20" customWidth="true"/>
    <col collapsed="false" hidden="false" max="24" min="24" style="1" width="20" customWidth="true"/>
    <col collapsed="false" hidden="false" max="25" min="25" style="1" width="20" customWidth="true"/>
    <col collapsed="false" hidden="false" max="26" min="26" style="1" width="32" customWidth="true"/>
    <col collapsed="false" hidden="false" max="27" min="27" style="1" width="20" customWidth="true"/>
    <col collapsed="false" hidden="false" max="28" min="28" style="1" width="32" customWidth="true"/>
    <col collapsed="false" hidden="false" max="29" min="29" style="1" width="32" customWidth="true"/>
    <col collapsed="false" hidden="false" max="30" min="30" style="1" width="32" customWidth="true"/>
    <col collapsed="false" hidden="false" max="31" min="31" style="1" width="32" customWidth="true"/>
    <col collapsed="false" hidden="false" max="32" min="32" style="1" width="20" customWidth="true"/>
    <col collapsed="false" hidden="false" max="33" min="33" style="1" width="20" customWidth="true"/>
    <col collapsed="false" hidden="false" max="34" min="34" style="1" width="20" customWidth="true"/>
    <col collapsed="false" hidden="false" max="35" min="35" style="1" width="32" customWidth="true"/>
    <col collapsed="false" hidden="false" max="36" min="36" style="1" width="32" customWidth="true"/>
    <col collapsed="false" hidden="false" max="37" min="37" style="1" width="20" customWidth="true"/>
    <col collapsed="false" hidden="false" max="38" min="38" style="1" width="20" customWidth="true"/>
    <col collapsed="false" hidden="false" max="39" min="39" style="1" width="20" customWidth="true"/>
    <col collapsed="false" hidden="false" max="40" min="40" style="1" width="20" customWidth="true"/>
    <col collapsed="false" hidden="false" max="41" min="41" style="1" width="20" customWidth="true"/>
    <col collapsed="false" hidden="false" max="42" min="42" style="1" width="20" customWidth="true"/>
    <col collapsed="false" hidden="false" max="43" min="43" style="1" width="20" customWidth="true"/>
    <col collapsed="false" hidden="false" max="44" min="44" style="1" width="20" customWidth="true"/>
    <col collapsed="false" hidden="false" max="45" min="45" style="1" width="20" customWidth="true"/>
    <col collapsed="false" hidden="false" max="46" min="46" style="1" width="20" customWidth="true"/>
    <col collapsed="false" hidden="false" max="47" min="47" style="1" width="20" customWidth="true"/>
    <col collapsed="false" hidden="false" max="48" min="48" style="1" width="20" customWidth="true"/>
    <col collapsed="false" hidden="false" max="49" min="49" style="1" width="20" customWidth="true"/>
    <col collapsed="false" hidden="false" max="50" min="50" style="1" width="20" customWidth="true"/>
    <col collapsed="false" hidden="false" max="51" min="51" style="1" width="20" customWidth="true"/>
    <col collapsed="false" hidden="false" max="52" min="52" style="1" width="20" customWidth="true"/>
    <col collapsed="false" hidden="false" max="53" min="53" style="1" width="20" customWidth="true"/>
    <col collapsed="false" hidden="false" max="54" min="54" style="1" width="32" customWidth="true"/>
    <col collapsed="false" hidden="false" max="55" min="55" style="1" width="32" customWidth="true"/>
    <col collapsed="false" hidden="false" max="56" min="56" style="1" width="32" customWidth="true"/>
    <col collapsed="false" hidden="false" max="57" min="57" style="1" width="32" customWidth="true"/>
    <col collapsed="false" hidden="false" max="58" min="58" style="1" width="32" customWidth="true"/>
    <col collapsed="false" hidden="false" max="59" min="59" style="1" width="32" customWidth="true"/>
    <col collapsed="false" hidden="false" max="60" min="60" style="1" width="32" customWidth="true"/>
    <col collapsed="false" hidden="false" max="61" min="61" style="1" width="32" customWidth="true"/>
    <col collapsed="false" hidden="false" max="62" min="62" style="1" width="32" customWidth="true"/>
    <col collapsed="false" hidden="false" max="63" min="63" style="1" width="32" customWidth="true"/>
  </cols>
  <sheetData>
    <row r="1" ht="20" customHeight="true">
      <c r="A1" s="8" t="s">
        <v>12</v>
      </c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>
        <v>13</v>
      </c>
      <c r="L1" s="8" t="s"/>
      <c r="M1" s="8" t="s"/>
      <c r="N1" s="8" t="s"/>
      <c r="O1" s="8" t="s">
        <v>14</v>
      </c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  <c r="AB1" s="8" t="s"/>
      <c r="AC1" s="8" t="s"/>
      <c r="AD1" s="8" t="s"/>
      <c r="AE1" s="8" t="s"/>
      <c r="AF1" s="8" t="s">
        <v>15</v>
      </c>
      <c r="AG1" s="8" t="s"/>
      <c r="AH1" s="8" t="s"/>
      <c r="AI1" s="8" t="s"/>
      <c r="AJ1" s="8" t="s"/>
      <c r="AK1" s="8" t="s">
        <v>16</v>
      </c>
      <c r="AL1" s="8" t="s"/>
      <c r="AM1" s="8" t="s"/>
      <c r="AN1" s="8" t="s"/>
      <c r="AO1" s="8" t="s">
        <v>17</v>
      </c>
      <c r="AP1" s="8" t="s"/>
      <c r="AQ1" s="8" t="s"/>
      <c r="AR1" s="8" t="s"/>
      <c r="AS1" s="8" t="s"/>
      <c r="AT1" s="8" t="s"/>
      <c r="AU1" s="8" t="s"/>
      <c r="AV1" s="8" t="s"/>
      <c r="AW1" s="8" t="s"/>
      <c r="AX1" s="8" t="s"/>
      <c r="AY1" s="8" t="s"/>
      <c r="AZ1" s="8" t="s"/>
      <c r="BA1" s="8" t="s"/>
      <c r="BB1" s="8" t="s">
        <v>18</v>
      </c>
      <c r="BC1" s="8" t="s"/>
      <c r="BD1" s="8" t="s"/>
      <c r="BE1" s="8" t="s"/>
      <c r="BF1" s="8" t="s"/>
      <c r="BG1" s="8" t="s"/>
      <c r="BH1" s="8" t="s"/>
      <c r="BI1" s="8" t="s">
        <v>19</v>
      </c>
      <c r="BJ1" s="8" t="s"/>
      <c r="BK1" s="8" t="s"/>
    </row>
    <row r="2" ht="45.846167" customHeight="true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 t="s">
        <v>41</v>
      </c>
      <c r="W2" s="8" t="s">
        <v>42</v>
      </c>
      <c r="X2" s="8" t="s">
        <v>43</v>
      </c>
      <c r="Y2" s="8" t="s">
        <v>44</v>
      </c>
      <c r="Z2" s="8" t="s">
        <v>45</v>
      </c>
      <c r="AA2" s="8" t="s">
        <v>46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51</v>
      </c>
      <c r="AG2" s="8" t="s">
        <v>52</v>
      </c>
      <c r="AH2" s="8" t="s">
        <v>53</v>
      </c>
      <c r="AI2" s="8" t="s">
        <v>54</v>
      </c>
      <c r="AJ2" s="8" t="s">
        <v>55</v>
      </c>
      <c r="AK2" s="8" t="s">
        <v>56</v>
      </c>
      <c r="AL2" s="8" t="s">
        <v>57</v>
      </c>
      <c r="AM2" s="8" t="s">
        <v>58</v>
      </c>
      <c r="AN2" s="8" t="s">
        <v>59</v>
      </c>
      <c r="AO2" s="8" t="s">
        <v>60</v>
      </c>
      <c r="AP2" s="8" t="s">
        <v>61</v>
      </c>
      <c r="AQ2" s="8" t="s">
        <v>62</v>
      </c>
      <c r="AR2" s="8" t="s">
        <v>63</v>
      </c>
      <c r="AS2" s="8" t="s">
        <v>64</v>
      </c>
      <c r="AT2" s="8" t="s">
        <v>65</v>
      </c>
      <c r="AU2" s="8" t="s">
        <v>66</v>
      </c>
      <c r="AV2" s="8" t="s">
        <v>67</v>
      </c>
      <c r="AW2" s="8" t="s">
        <v>68</v>
      </c>
      <c r="AX2" s="8" t="s">
        <v>69</v>
      </c>
      <c r="AY2" s="8" t="s">
        <v>70</v>
      </c>
      <c r="AZ2" s="8" t="s">
        <v>71</v>
      </c>
      <c r="BA2" s="8" t="s">
        <v>72</v>
      </c>
      <c r="BB2" s="9" t="s">
        <v>73</v>
      </c>
      <c r="BC2" s="9" t="s">
        <v>74</v>
      </c>
      <c r="BD2" s="8" t="s">
        <v>36</v>
      </c>
      <c r="BE2" s="9" t="s">
        <v>75</v>
      </c>
      <c r="BF2" s="9" t="s">
        <v>76</v>
      </c>
      <c r="BG2" s="9" t="s">
        <v>77</v>
      </c>
      <c r="BH2" s="9" t="s">
        <v>78</v>
      </c>
      <c r="BI2" s="9" t="s">
        <v>79</v>
      </c>
      <c r="BJ2" s="9" t="s">
        <v>80</v>
      </c>
      <c r="BK2" s="9" t="s">
        <v>81</v>
      </c>
    </row>
    <row r="3" ht="20" customHeight="true">
      <c r="A3" s="10" t="s">
        <v>82</v>
      </c>
      <c r="B3" s="10" t="s">
        <v>82</v>
      </c>
      <c r="C3" s="10" t="s">
        <v>82</v>
      </c>
      <c r="D3" s="10" t="s">
        <v>82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82</v>
      </c>
      <c r="L3" s="10" t="s">
        <v>82</v>
      </c>
      <c r="M3" s="10" t="s">
        <v>82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82</v>
      </c>
      <c r="Y3" s="10" t="s">
        <v>82</v>
      </c>
      <c r="Z3" s="10" t="s">
        <v>82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82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82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1" t="s">
        <v>83</v>
      </c>
      <c r="BC3" s="11" t="s">
        <v>83</v>
      </c>
      <c r="BD3" s="10" t="s">
        <v>82</v>
      </c>
      <c r="BE3" s="11" t="s">
        <v>83</v>
      </c>
      <c r="BF3" s="11" t="s">
        <v>83</v>
      </c>
      <c r="BG3" s="11" t="s">
        <v>83</v>
      </c>
      <c r="BH3" s="11" t="s">
        <v>83</v>
      </c>
      <c r="BI3" s="11" t="s">
        <v>83</v>
      </c>
      <c r="BJ3" s="11" t="s">
        <v>83</v>
      </c>
      <c r="BK3" s="11" t="s">
        <v>83</v>
      </c>
    </row>
    <row r="4" ht="34" customHeight="true">
      <c r="A4" s="12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>
        <v>84</v>
      </c>
      <c r="L4" s="12" t="s">
        <v>85</v>
      </c>
      <c r="M4" s="12" t="s">
        <v>86</v>
      </c>
      <c r="N4" s="12" t="s">
        <v>87</v>
      </c>
      <c r="O4" s="12" t="s">
        <v>88</v>
      </c>
      <c r="P4" s="12" t="s">
        <v>89</v>
      </c>
      <c r="Q4" s="12" t="s">
        <v>90</v>
      </c>
      <c r="R4" s="12" t="s"/>
      <c r="S4" s="12" t="s">
        <v>91</v>
      </c>
      <c r="T4" s="12" t="s">
        <v>92</v>
      </c>
      <c r="U4" s="12" t="s"/>
      <c r="V4" s="12" t="s"/>
      <c r="W4" s="12" t="s">
        <v>93</v>
      </c>
      <c r="X4" s="12" t="s">
        <v>94</v>
      </c>
      <c r="Y4" s="12" t="s">
        <v>95</v>
      </c>
      <c r="Z4" s="12" t="s">
        <v>96</v>
      </c>
      <c r="AA4" s="12" t="s">
        <v>97</v>
      </c>
      <c r="AB4" s="12" t="s">
        <v>98</v>
      </c>
      <c r="AC4" s="12" t="s">
        <v>99</v>
      </c>
      <c r="AD4" s="12" t="s">
        <v>100</v>
      </c>
      <c r="AE4" s="12" t="s">
        <v>101</v>
      </c>
      <c r="AF4" s="12" t="s">
        <v>102</v>
      </c>
      <c r="AG4" s="12" t="s">
        <v>103</v>
      </c>
      <c r="AH4" s="12" t="s">
        <v>104</v>
      </c>
      <c r="AI4" s="12" t="s">
        <v>105</v>
      </c>
      <c r="AJ4" s="12" t="s">
        <v>105</v>
      </c>
      <c r="AK4" s="12" t="s">
        <v>106</v>
      </c>
      <c r="AL4" s="12" t="s">
        <v>107</v>
      </c>
      <c r="AM4" s="12" t="s">
        <v>108</v>
      </c>
      <c r="AN4" s="12" t="s">
        <v>109</v>
      </c>
      <c r="AO4" s="12" t="s">
        <v>110</v>
      </c>
      <c r="AP4" s="12" t="s">
        <v>111</v>
      </c>
      <c r="AQ4" s="12" t="s">
        <v>112</v>
      </c>
      <c r="AR4" s="12" t="s">
        <v>113</v>
      </c>
      <c r="AS4" s="12" t="s">
        <v>114</v>
      </c>
      <c r="AT4" s="12" t="s">
        <v>115</v>
      </c>
      <c r="AU4" s="12" t="s">
        <v>111</v>
      </c>
      <c r="AV4" s="12" t="s">
        <v>116</v>
      </c>
      <c r="AW4" s="12" t="s">
        <v>117</v>
      </c>
      <c r="AX4" s="12" t="s">
        <v>115</v>
      </c>
      <c r="AY4" s="12" t="s">
        <v>112</v>
      </c>
      <c r="AZ4" s="12" t="s">
        <v>112</v>
      </c>
      <c r="BA4" s="12" t="s">
        <v>114</v>
      </c>
      <c r="BB4" s="12" t="s">
        <v>118</v>
      </c>
      <c r="BC4" s="12" t="s">
        <v>119</v>
      </c>
      <c r="BD4" s="12" t="s">
        <v>120</v>
      </c>
      <c r="BE4" s="12" t="s"/>
      <c r="BF4" s="12" t="s">
        <v>121</v>
      </c>
      <c r="BG4" s="12" t="s">
        <v>122</v>
      </c>
      <c r="BH4" s="12" t="s">
        <v>123</v>
      </c>
      <c r="BI4" s="12" t="s">
        <v>124</v>
      </c>
      <c r="BJ4" s="12" t="s">
        <v>125</v>
      </c>
      <c r="BK4" s="12" t="s">
        <v>126</v>
      </c>
    </row>
    <row r="5" ht="20" customHeight="true">
      <c r="A5" s="13" t="s">
        <v>127</v>
      </c>
      <c r="B5" s="13">
        <v>550464038</v>
      </c>
      <c r="C5" s="13" t="s">
        <v>128</v>
      </c>
      <c r="D5" s="13" t="s">
        <v>129</v>
      </c>
      <c r="E5" s="13" t="s">
        <v>130</v>
      </c>
      <c r="F5" s="13">
        <v>135</v>
      </c>
      <c r="G5" s="13">
        <v>0</v>
      </c>
      <c r="H5" s="13">
        <v>2.912</v>
      </c>
      <c r="I5" s="13">
        <v>0.6</v>
      </c>
      <c r="J5" s="13" t="s">
        <v>131</v>
      </c>
      <c r="K5" s="13">
        <v>1004</v>
      </c>
      <c r="L5" s="13">
        <v>743</v>
      </c>
      <c r="M5" s="13">
        <v>0.13</v>
      </c>
      <c r="N5" s="13">
        <v>1</v>
      </c>
      <c r="O5" s="13">
        <v>1366</v>
      </c>
      <c r="P5" s="13">
        <v>1004</v>
      </c>
      <c r="Q5" s="13">
        <v>27</v>
      </c>
      <c r="R5" s="13">
        <v>362</v>
      </c>
      <c r="S5" s="13">
        <v>1004</v>
      </c>
      <c r="T5" s="13">
        <v>48</v>
      </c>
      <c r="U5" s="13">
        <v>651</v>
      </c>
      <c r="V5" s="13" t="s">
        <v>132</v>
      </c>
      <c r="W5" s="13">
        <v>502</v>
      </c>
      <c r="X5" s="13" t="s">
        <v>133</v>
      </c>
      <c r="Y5" s="13" t="s">
        <v>134</v>
      </c>
      <c r="Z5" s="13" t="s"/>
      <c r="AA5" s="13" t="s">
        <v>135</v>
      </c>
      <c r="AB5" s="13" t="s">
        <v>136</v>
      </c>
      <c r="AC5" s="13" t="s">
        <v>137</v>
      </c>
      <c r="AD5" s="13" t="s">
        <v>138</v>
      </c>
      <c r="AE5" s="13" t="s">
        <v>138</v>
      </c>
      <c r="AF5" s="13">
        <v>0</v>
      </c>
      <c r="AG5" s="13">
        <v>520</v>
      </c>
      <c r="AH5" s="13">
        <v>520</v>
      </c>
      <c r="AI5" s="13" t="s">
        <v>139</v>
      </c>
      <c r="AJ5" s="13" t="s">
        <v>139</v>
      </c>
      <c r="AK5" s="13" t="s">
        <v>140</v>
      </c>
      <c r="AL5" s="13">
        <v>0</v>
      </c>
      <c r="AM5" s="13">
        <v>1.21</v>
      </c>
      <c r="AN5" s="13">
        <v>1.21</v>
      </c>
      <c r="AO5" s="13">
        <v>10.04</v>
      </c>
      <c r="AP5" s="13">
        <v>38</v>
      </c>
      <c r="AQ5" s="13">
        <v>74</v>
      </c>
      <c r="AR5" s="13">
        <v>356.48</v>
      </c>
      <c r="AS5" s="13">
        <v>25</v>
      </c>
      <c r="AT5" s="13">
        <v>0</v>
      </c>
      <c r="AU5" s="13">
        <v>47</v>
      </c>
      <c r="AV5" s="13">
        <v>10</v>
      </c>
      <c r="AW5" s="13">
        <v>30</v>
      </c>
      <c r="AX5" s="13">
        <v>0</v>
      </c>
      <c r="AY5" s="13">
        <v>74</v>
      </c>
      <c r="AZ5" s="13">
        <v>236</v>
      </c>
      <c r="BA5" s="13">
        <v>25</v>
      </c>
      <c r="BB5" s="13" t="s"/>
      <c r="BC5" s="13" t="s"/>
      <c r="BD5" s="1">
        <f>=IF(IF(BC5&lt;&gt;"",IF(BB5&lt;&gt;"",CEILING(((BB5-BC5)/BB5)*100,1),IF(AND(O5&lt;&gt;"",O5&gt;0),CEILING((((O5-BC5)/O5)*100),1),"")),"")&gt;=0,IF(BC5&lt;&gt;"",IF(BB5&lt;&gt;"",CEILING(((BB5-BC5)/BB5)*100,1),IF(AND(O5&lt;&gt;"",O5&gt;0),CEILING((((O5-BC5)/O5)*100),1),"")),""), "Ошибка: цена до скидки должна быть больше текущей.")</f>
      </c>
      <c r="BE5" s="13" t="s"/>
      <c r="BF5" s="13" t="s"/>
      <c r="BG5" s="13" t="s"/>
      <c r="BH5" s="13" t="s"/>
      <c r="BI5" s="13" t="s"/>
      <c r="BJ5" s="13" t="s"/>
      <c r="BK5" s="13" t="s"/>
    </row>
    <row r="6" ht="20" customHeight="true">
      <c r="A6" s="13" t="s">
        <v>141</v>
      </c>
      <c r="B6" s="13">
        <v>550391413</v>
      </c>
      <c r="C6" s="13" t="s">
        <v>128</v>
      </c>
      <c r="D6" s="13" t="s">
        <v>129</v>
      </c>
      <c r="E6" s="13" t="s">
        <v>130</v>
      </c>
      <c r="F6" s="13">
        <v>130</v>
      </c>
      <c r="G6" s="13">
        <v>0</v>
      </c>
      <c r="H6" s="13">
        <v>2.088</v>
      </c>
      <c r="I6" s="13">
        <v>0.4</v>
      </c>
      <c r="J6" s="13" t="s">
        <v>142</v>
      </c>
      <c r="K6" s="13">
        <v>1004</v>
      </c>
      <c r="L6" s="13">
        <v>627</v>
      </c>
      <c r="M6" s="13">
        <v>0.16</v>
      </c>
      <c r="N6" s="13">
        <v>1</v>
      </c>
      <c r="O6" s="13">
        <v>1366</v>
      </c>
      <c r="P6" s="13">
        <v>1004</v>
      </c>
      <c r="Q6" s="13">
        <v>27</v>
      </c>
      <c r="R6" s="13">
        <v>362</v>
      </c>
      <c r="S6" s="13">
        <v>1004</v>
      </c>
      <c r="T6" s="13">
        <v>48</v>
      </c>
      <c r="U6" s="13">
        <v>651</v>
      </c>
      <c r="V6" s="13" t="s">
        <v>132</v>
      </c>
      <c r="W6" s="13">
        <v>502</v>
      </c>
      <c r="X6" s="13" t="s">
        <v>133</v>
      </c>
      <c r="Y6" s="13" t="s">
        <v>134</v>
      </c>
      <c r="Z6" s="13" t="s"/>
      <c r="AA6" s="13" t="s">
        <v>143</v>
      </c>
      <c r="AB6" s="13" t="s">
        <v>136</v>
      </c>
      <c r="AC6" s="13" t="s">
        <v>137</v>
      </c>
      <c r="AD6" s="13" t="s">
        <v>138</v>
      </c>
      <c r="AE6" s="13" t="s">
        <v>138</v>
      </c>
      <c r="AF6" s="13">
        <v>0</v>
      </c>
      <c r="AG6" s="13">
        <v>520</v>
      </c>
      <c r="AH6" s="13">
        <v>520</v>
      </c>
      <c r="AI6" s="13" t="s">
        <v>139</v>
      </c>
      <c r="AJ6" s="13" t="s">
        <v>139</v>
      </c>
      <c r="AK6" s="13" t="s">
        <v>140</v>
      </c>
      <c r="AL6" s="13">
        <v>0</v>
      </c>
      <c r="AM6" s="13">
        <v>1.21</v>
      </c>
      <c r="AN6" s="13">
        <v>1.21</v>
      </c>
      <c r="AO6" s="13">
        <v>10.04</v>
      </c>
      <c r="AP6" s="13">
        <v>38</v>
      </c>
      <c r="AQ6" s="13">
        <v>74</v>
      </c>
      <c r="AR6" s="13">
        <v>356.48</v>
      </c>
      <c r="AS6" s="13">
        <v>25</v>
      </c>
      <c r="AT6" s="13">
        <v>0</v>
      </c>
      <c r="AU6" s="13">
        <v>47</v>
      </c>
      <c r="AV6" s="13">
        <v>10</v>
      </c>
      <c r="AW6" s="13">
        <v>30</v>
      </c>
      <c r="AX6" s="13">
        <v>0</v>
      </c>
      <c r="AY6" s="13">
        <v>74</v>
      </c>
      <c r="AZ6" s="13">
        <v>236</v>
      </c>
      <c r="BA6" s="13">
        <v>25</v>
      </c>
      <c r="BB6" s="13" t="s"/>
      <c r="BC6" s="13" t="s"/>
      <c r="BD6" s="1">
        <f>=IF(IF(BC6&lt;&gt;"",IF(BB6&lt;&gt;"",CEILING(((BB6-BC6)/BB6)*100,1),IF(AND(O6&lt;&gt;"",O6&gt;0),CEILING((((O6-BC6)/O6)*100),1),"")),"")&gt;=0,IF(BC6&lt;&gt;"",IF(BB6&lt;&gt;"",CEILING(((BB6-BC6)/BB6)*100,1),IF(AND(O6&lt;&gt;"",O6&gt;0),CEILING((((O6-BC6)/O6)*100),1),"")),""), "Ошибка: цена до скидки должна быть больше текущей.")</f>
      </c>
      <c r="BE6" s="13" t="s"/>
      <c r="BF6" s="13" t="s"/>
      <c r="BG6" s="13" t="s"/>
      <c r="BH6" s="13" t="s"/>
      <c r="BI6" s="13" t="s"/>
      <c r="BJ6" s="13" t="s"/>
      <c r="BK6" s="13" t="s"/>
    </row>
    <row r="7" ht="20" customHeight="true">
      <c r="A7" s="13" t="s">
        <v>144</v>
      </c>
      <c r="B7" s="13">
        <v>569756000</v>
      </c>
      <c r="C7" s="13" t="s">
        <v>145</v>
      </c>
      <c r="D7" s="13" t="s">
        <v>129</v>
      </c>
      <c r="E7" s="13" t="s">
        <v>130</v>
      </c>
      <c r="F7" s="13">
        <v>2</v>
      </c>
      <c r="G7" s="13">
        <v>0</v>
      </c>
      <c r="H7" s="13">
        <v>3.75</v>
      </c>
      <c r="I7" s="13">
        <v>0.8</v>
      </c>
      <c r="J7" s="13" t="s">
        <v>146</v>
      </c>
      <c r="K7" s="13">
        <v>0</v>
      </c>
      <c r="L7" s="13">
        <v>276</v>
      </c>
      <c r="M7" s="13">
        <v>0</v>
      </c>
      <c r="N7" s="13">
        <v>0</v>
      </c>
      <c r="O7" s="13">
        <v>2499</v>
      </c>
      <c r="P7" s="13">
        <v>1699</v>
      </c>
      <c r="Q7" s="13">
        <v>33</v>
      </c>
      <c r="R7" s="13">
        <v>800</v>
      </c>
      <c r="S7" s="13">
        <v>1223</v>
      </c>
      <c r="T7" s="13">
        <v>68</v>
      </c>
      <c r="U7" s="13">
        <v>1694</v>
      </c>
      <c r="V7" s="13" t="s">
        <v>132</v>
      </c>
      <c r="W7" s="13" t="s"/>
      <c r="X7" s="13" t="s">
        <v>138</v>
      </c>
      <c r="Y7" s="13" t="s">
        <v>147</v>
      </c>
      <c r="Z7" s="13" t="s"/>
      <c r="AA7" s="13" t="s">
        <v>148</v>
      </c>
      <c r="AB7" s="13" t="s">
        <v>149</v>
      </c>
      <c r="AC7" s="13" t="s">
        <v>150</v>
      </c>
      <c r="AD7" s="13" t="s">
        <v>138</v>
      </c>
      <c r="AE7" s="13" t="s">
        <v>133</v>
      </c>
      <c r="AF7" s="13">
        <v>0</v>
      </c>
      <c r="AG7" s="13">
        <v>0</v>
      </c>
      <c r="AH7" s="13">
        <v>0</v>
      </c>
      <c r="AI7" s="13" t="s"/>
      <c r="AJ7" s="13" t="s"/>
      <c r="AK7" s="13" t="s"/>
      <c r="AL7" s="13">
        <v>0</v>
      </c>
      <c r="AM7" s="13">
        <v>0</v>
      </c>
      <c r="AN7" s="13">
        <v>0</v>
      </c>
      <c r="AO7" s="13">
        <v>12.23</v>
      </c>
      <c r="AP7" s="13">
        <v>45</v>
      </c>
      <c r="AQ7" s="13">
        <v>78</v>
      </c>
      <c r="AR7" s="13">
        <v>446.76</v>
      </c>
      <c r="AS7" s="13">
        <v>25</v>
      </c>
      <c r="AT7" s="13">
        <v>0</v>
      </c>
      <c r="AU7" s="13">
        <v>51</v>
      </c>
      <c r="AV7" s="13">
        <v>10</v>
      </c>
      <c r="AW7" s="13">
        <v>30</v>
      </c>
      <c r="AX7" s="13">
        <v>0</v>
      </c>
      <c r="AY7" s="13">
        <v>78</v>
      </c>
      <c r="AZ7" s="13">
        <v>300</v>
      </c>
      <c r="BA7" s="13">
        <v>25</v>
      </c>
      <c r="BB7" s="13" t="s"/>
      <c r="BC7" s="13" t="s"/>
      <c r="BD7" s="1">
        <f>=IF(IF(BC7&lt;&gt;"",IF(BB7&lt;&gt;"",CEILING(((BB7-BC7)/BB7)*100,1),IF(AND(O7&lt;&gt;"",O7&gt;0),CEILING((((O7-BC7)/O7)*100),1),"")),"")&gt;=0,IF(BC7&lt;&gt;"",IF(BB7&lt;&gt;"",CEILING(((BB7-BC7)/BB7)*100,1),IF(AND(O7&lt;&gt;"",O7&gt;0),CEILING((((O7-BC7)/O7)*100),1),"")),""), "Ошибка: цена до скидки должна быть больше текущей.")</f>
      </c>
      <c r="BE7" s="13" t="s"/>
      <c r="BF7" s="13" t="s"/>
      <c r="BG7" s="13" t="s"/>
      <c r="BH7" s="13" t="s"/>
      <c r="BI7" s="13" t="s"/>
      <c r="BJ7" s="13" t="s"/>
      <c r="BK7" s="13" t="s"/>
    </row>
    <row r="8" ht="20" customHeight="true">
      <c r="A8" s="13" t="s">
        <v>151</v>
      </c>
      <c r="B8" s="13">
        <v>909979960</v>
      </c>
      <c r="C8" s="13" t="s">
        <v>128</v>
      </c>
      <c r="D8" s="13" t="s">
        <v>129</v>
      </c>
      <c r="E8" s="13" t="s">
        <v>130</v>
      </c>
      <c r="F8" s="13">
        <v>509</v>
      </c>
      <c r="G8" s="13">
        <v>0</v>
      </c>
      <c r="H8" s="13">
        <v>2.912</v>
      </c>
      <c r="I8" s="13">
        <v>0.6</v>
      </c>
      <c r="J8" s="13" t="s">
        <v>152</v>
      </c>
      <c r="K8" s="13">
        <v>0</v>
      </c>
      <c r="L8" s="13">
        <v>1707</v>
      </c>
      <c r="M8" s="13">
        <v>0</v>
      </c>
      <c r="N8" s="13">
        <v>0</v>
      </c>
      <c r="O8" s="13">
        <v>1366</v>
      </c>
      <c r="P8" s="13">
        <v>1004</v>
      </c>
      <c r="Q8" s="13">
        <v>27</v>
      </c>
      <c r="R8" s="13">
        <v>362</v>
      </c>
      <c r="S8" s="13">
        <v>1004</v>
      </c>
      <c r="T8" s="13">
        <v>48</v>
      </c>
      <c r="U8" s="13">
        <v>651</v>
      </c>
      <c r="V8" s="13" t="s">
        <v>132</v>
      </c>
      <c r="W8" s="13">
        <v>502</v>
      </c>
      <c r="X8" s="13" t="s">
        <v>133</v>
      </c>
      <c r="Y8" s="13" t="s">
        <v>134</v>
      </c>
      <c r="Z8" s="13" t="s"/>
      <c r="AA8" s="13" t="s">
        <v>153</v>
      </c>
      <c r="AB8" s="13" t="s">
        <v>154</v>
      </c>
      <c r="AC8" s="13" t="s">
        <v>155</v>
      </c>
      <c r="AD8" s="13" t="s">
        <v>138</v>
      </c>
      <c r="AE8" s="13" t="s">
        <v>138</v>
      </c>
      <c r="AF8" s="13">
        <v>0</v>
      </c>
      <c r="AG8" s="13">
        <v>520</v>
      </c>
      <c r="AH8" s="13">
        <v>520</v>
      </c>
      <c r="AI8" s="13" t="s">
        <v>156</v>
      </c>
      <c r="AJ8" s="13" t="s">
        <v>156</v>
      </c>
      <c r="AK8" s="13" t="s">
        <v>140</v>
      </c>
      <c r="AL8" s="13">
        <v>0</v>
      </c>
      <c r="AM8" s="13">
        <v>1.21</v>
      </c>
      <c r="AN8" s="13">
        <v>1.21</v>
      </c>
      <c r="AO8" s="13">
        <v>10.04</v>
      </c>
      <c r="AP8" s="13">
        <v>38</v>
      </c>
      <c r="AQ8" s="13">
        <v>74</v>
      </c>
      <c r="AR8" s="13">
        <v>356.48</v>
      </c>
      <c r="AS8" s="13">
        <v>25</v>
      </c>
      <c r="AT8" s="13">
        <v>0</v>
      </c>
      <c r="AU8" s="13">
        <v>47</v>
      </c>
      <c r="AV8" s="13">
        <v>10</v>
      </c>
      <c r="AW8" s="13">
        <v>30</v>
      </c>
      <c r="AX8" s="13">
        <v>0</v>
      </c>
      <c r="AY8" s="13">
        <v>74</v>
      </c>
      <c r="AZ8" s="13">
        <v>236</v>
      </c>
      <c r="BA8" s="13">
        <v>25</v>
      </c>
      <c r="BB8" s="13" t="s"/>
      <c r="BC8" s="13" t="s"/>
      <c r="BD8" s="1">
        <f>=IF(IF(BC8&lt;&gt;"",IF(BB8&lt;&gt;"",CEILING(((BB8-BC8)/BB8)*100,1),IF(AND(O8&lt;&gt;"",O8&gt;0),CEILING((((O8-BC8)/O8)*100),1),"")),"")&gt;=0,IF(BC8&lt;&gt;"",IF(BB8&lt;&gt;"",CEILING(((BB8-BC8)/BB8)*100,1),IF(AND(O8&lt;&gt;"",O8&gt;0),CEILING((((O8-BC8)/O8)*100),1),"")),""), "Ошибка: цена до скидки должна быть больше текущей.")</f>
      </c>
      <c r="BE8" s="13" t="s"/>
      <c r="BF8" s="13" t="s"/>
      <c r="BG8" s="13" t="s"/>
      <c r="BH8" s="13" t="s"/>
      <c r="BI8" s="13" t="s"/>
      <c r="BJ8" s="13" t="s"/>
      <c r="BK8" s="13" t="s"/>
    </row>
    <row r="9" ht="20" customHeight="true">
      <c r="A9" s="13" t="s">
        <v>157</v>
      </c>
      <c r="B9" s="13">
        <v>909982985</v>
      </c>
      <c r="C9" s="13" t="s">
        <v>128</v>
      </c>
      <c r="D9" s="13" t="s">
        <v>129</v>
      </c>
      <c r="E9" s="13" t="s">
        <v>130</v>
      </c>
      <c r="F9" s="13">
        <v>503</v>
      </c>
      <c r="G9" s="13">
        <v>0</v>
      </c>
      <c r="H9" s="13">
        <v>2.912</v>
      </c>
      <c r="I9" s="13">
        <v>0.6</v>
      </c>
      <c r="J9" s="13" t="s">
        <v>158</v>
      </c>
      <c r="K9" s="13">
        <v>5020</v>
      </c>
      <c r="L9" s="13">
        <v>2082</v>
      </c>
      <c r="M9" s="13">
        <v>0.24</v>
      </c>
      <c r="N9" s="13">
        <v>5</v>
      </c>
      <c r="O9" s="13">
        <v>1366</v>
      </c>
      <c r="P9" s="13">
        <v>1004</v>
      </c>
      <c r="Q9" s="13">
        <v>27</v>
      </c>
      <c r="R9" s="13">
        <v>362</v>
      </c>
      <c r="S9" s="13">
        <v>1004</v>
      </c>
      <c r="T9" s="13">
        <v>48</v>
      </c>
      <c r="U9" s="13">
        <v>651</v>
      </c>
      <c r="V9" s="13" t="s">
        <v>132</v>
      </c>
      <c r="W9" s="13">
        <v>502</v>
      </c>
      <c r="X9" s="13" t="s">
        <v>133</v>
      </c>
      <c r="Y9" s="13" t="s">
        <v>134</v>
      </c>
      <c r="Z9" s="13" t="s"/>
      <c r="AA9" s="13" t="s">
        <v>159</v>
      </c>
      <c r="AB9" s="13" t="s">
        <v>154</v>
      </c>
      <c r="AC9" s="13" t="s">
        <v>155</v>
      </c>
      <c r="AD9" s="13" t="s">
        <v>138</v>
      </c>
      <c r="AE9" s="13" t="s">
        <v>138</v>
      </c>
      <c r="AF9" s="13">
        <v>0</v>
      </c>
      <c r="AG9" s="13">
        <v>520</v>
      </c>
      <c r="AH9" s="13">
        <v>520</v>
      </c>
      <c r="AI9" s="13" t="s">
        <v>156</v>
      </c>
      <c r="AJ9" s="13" t="s">
        <v>156</v>
      </c>
      <c r="AK9" s="13" t="s">
        <v>140</v>
      </c>
      <c r="AL9" s="13">
        <v>0</v>
      </c>
      <c r="AM9" s="13">
        <v>1.21</v>
      </c>
      <c r="AN9" s="13">
        <v>1.21</v>
      </c>
      <c r="AO9" s="13">
        <v>10.04</v>
      </c>
      <c r="AP9" s="13">
        <v>38</v>
      </c>
      <c r="AQ9" s="13">
        <v>74</v>
      </c>
      <c r="AR9" s="13">
        <v>356.48</v>
      </c>
      <c r="AS9" s="13">
        <v>25</v>
      </c>
      <c r="AT9" s="13">
        <v>0</v>
      </c>
      <c r="AU9" s="13">
        <v>47</v>
      </c>
      <c r="AV9" s="13">
        <v>10</v>
      </c>
      <c r="AW9" s="13">
        <v>30</v>
      </c>
      <c r="AX9" s="13">
        <v>0</v>
      </c>
      <c r="AY9" s="13">
        <v>74</v>
      </c>
      <c r="AZ9" s="13">
        <v>236</v>
      </c>
      <c r="BA9" s="13">
        <v>25</v>
      </c>
      <c r="BB9" s="13" t="s"/>
      <c r="BC9" s="13" t="s"/>
      <c r="BD9" s="1">
        <f>=IF(IF(BC9&lt;&gt;"",IF(BB9&lt;&gt;"",CEILING(((BB9-BC9)/BB9)*100,1),IF(AND(O9&lt;&gt;"",O9&gt;0),CEILING((((O9-BC9)/O9)*100),1),"")),"")&gt;=0,IF(BC9&lt;&gt;"",IF(BB9&lt;&gt;"",CEILING(((BB9-BC9)/BB9)*100,1),IF(AND(O9&lt;&gt;"",O9&gt;0),CEILING((((O9-BC9)/O9)*100),1),"")),""), "Ошибка: цена до скидки должна быть больше текущей.")</f>
      </c>
      <c r="BE9" s="13" t="s"/>
      <c r="BF9" s="13" t="s"/>
      <c r="BG9" s="13" t="s"/>
      <c r="BH9" s="13" t="s"/>
      <c r="BI9" s="13" t="s"/>
      <c r="BJ9" s="13" t="s"/>
      <c r="BK9" s="13" t="s"/>
    </row>
    <row r="10" ht="20" customHeight="true">
      <c r="A10" s="13" t="s">
        <v>160</v>
      </c>
      <c r="B10" s="13">
        <v>909986238</v>
      </c>
      <c r="C10" s="13" t="s">
        <v>128</v>
      </c>
      <c r="D10" s="13" t="s">
        <v>129</v>
      </c>
      <c r="E10" s="13" t="s">
        <v>130</v>
      </c>
      <c r="F10" s="13">
        <v>922</v>
      </c>
      <c r="G10" s="13">
        <v>0</v>
      </c>
      <c r="H10" s="13">
        <v>2.912</v>
      </c>
      <c r="I10" s="13">
        <v>0.6</v>
      </c>
      <c r="J10" s="13" t="s">
        <v>161</v>
      </c>
      <c r="K10" s="13">
        <v>8032</v>
      </c>
      <c r="L10" s="13">
        <v>3054</v>
      </c>
      <c r="M10" s="13">
        <v>0.26</v>
      </c>
      <c r="N10" s="13">
        <v>8</v>
      </c>
      <c r="O10" s="13">
        <v>1366</v>
      </c>
      <c r="P10" s="13">
        <v>1004</v>
      </c>
      <c r="Q10" s="13">
        <v>27</v>
      </c>
      <c r="R10" s="13">
        <v>362</v>
      </c>
      <c r="S10" s="13">
        <v>1004</v>
      </c>
      <c r="T10" s="13">
        <v>48</v>
      </c>
      <c r="U10" s="13">
        <v>643</v>
      </c>
      <c r="V10" s="13" t="s">
        <v>132</v>
      </c>
      <c r="W10" s="13">
        <v>502</v>
      </c>
      <c r="X10" s="13" t="s">
        <v>133</v>
      </c>
      <c r="Y10" s="13" t="s">
        <v>134</v>
      </c>
      <c r="Z10" s="13" t="s"/>
      <c r="AA10" s="13" t="s">
        <v>162</v>
      </c>
      <c r="AB10" s="13" t="s">
        <v>136</v>
      </c>
      <c r="AC10" s="13" t="s">
        <v>137</v>
      </c>
      <c r="AD10" s="13" t="s">
        <v>138</v>
      </c>
      <c r="AE10" s="13" t="s">
        <v>138</v>
      </c>
      <c r="AF10" s="13">
        <v>0</v>
      </c>
      <c r="AG10" s="13">
        <v>520</v>
      </c>
      <c r="AH10" s="13">
        <v>520</v>
      </c>
      <c r="AI10" s="13" t="s">
        <v>156</v>
      </c>
      <c r="AJ10" s="13" t="s">
        <v>156</v>
      </c>
      <c r="AK10" s="13" t="s">
        <v>140</v>
      </c>
      <c r="AL10" s="13">
        <v>0</v>
      </c>
      <c r="AM10" s="13">
        <v>1.21</v>
      </c>
      <c r="AN10" s="13">
        <v>1.21</v>
      </c>
      <c r="AO10" s="13">
        <v>10.04</v>
      </c>
      <c r="AP10" s="13">
        <v>38</v>
      </c>
      <c r="AQ10" s="13">
        <v>74</v>
      </c>
      <c r="AR10" s="13">
        <v>356.48</v>
      </c>
      <c r="AS10" s="13">
        <v>25</v>
      </c>
      <c r="AT10" s="13">
        <v>0</v>
      </c>
      <c r="AU10" s="13">
        <v>47</v>
      </c>
      <c r="AV10" s="13">
        <v>10</v>
      </c>
      <c r="AW10" s="13">
        <v>30</v>
      </c>
      <c r="AX10" s="13">
        <v>0</v>
      </c>
      <c r="AY10" s="13">
        <v>74</v>
      </c>
      <c r="AZ10" s="13">
        <v>236</v>
      </c>
      <c r="BA10" s="13">
        <v>25</v>
      </c>
      <c r="BB10" s="13" t="s"/>
      <c r="BC10" s="13" t="s"/>
      <c r="BD10" s="1">
        <f>=IF(IF(BC10&lt;&gt;"",IF(BB10&lt;&gt;"",CEILING(((BB10-BC10)/BB10)*100,1),IF(AND(O10&lt;&gt;"",O10&gt;0),CEILING((((O10-BC10)/O10)*100),1),"")),"")&gt;=0,IF(BC10&lt;&gt;"",IF(BB10&lt;&gt;"",CEILING(((BB10-BC10)/BB10)*100,1),IF(AND(O10&lt;&gt;"",O10&gt;0),CEILING((((O10-BC10)/O10)*100),1),"")),""), "Ошибка: цена до скидки должна быть больше текущей.")</f>
      </c>
      <c r="BE10" s="13" t="s"/>
      <c r="BF10" s="13" t="s"/>
      <c r="BG10" s="13" t="s"/>
      <c r="BH10" s="13" t="s"/>
      <c r="BI10" s="13" t="s"/>
      <c r="BJ10" s="13" t="s"/>
      <c r="BK10" s="13" t="s"/>
    </row>
    <row r="11" ht="20" customHeight="true">
      <c r="A11" s="13" t="s">
        <v>163</v>
      </c>
      <c r="B11" s="13">
        <v>910004361</v>
      </c>
      <c r="C11" s="13" t="s">
        <v>128</v>
      </c>
      <c r="D11" s="13" t="s">
        <v>129</v>
      </c>
      <c r="E11" s="13" t="s">
        <v>130</v>
      </c>
      <c r="F11" s="13">
        <v>760</v>
      </c>
      <c r="G11" s="13">
        <v>0</v>
      </c>
      <c r="H11" s="13">
        <v>2.912</v>
      </c>
      <c r="I11" s="13">
        <v>0.6</v>
      </c>
      <c r="J11" s="13" t="s">
        <v>164</v>
      </c>
      <c r="K11" s="13">
        <v>8032</v>
      </c>
      <c r="L11" s="13">
        <v>2435</v>
      </c>
      <c r="M11" s="13">
        <v>0.33</v>
      </c>
      <c r="N11" s="13">
        <v>8</v>
      </c>
      <c r="O11" s="13">
        <v>1366</v>
      </c>
      <c r="P11" s="13">
        <v>1004</v>
      </c>
      <c r="Q11" s="13">
        <v>27</v>
      </c>
      <c r="R11" s="13">
        <v>362</v>
      </c>
      <c r="S11" s="13">
        <v>1004</v>
      </c>
      <c r="T11" s="13">
        <v>48</v>
      </c>
      <c r="U11" s="13">
        <v>643</v>
      </c>
      <c r="V11" s="13" t="s">
        <v>132</v>
      </c>
      <c r="W11" s="13">
        <v>502</v>
      </c>
      <c r="X11" s="13" t="s">
        <v>133</v>
      </c>
      <c r="Y11" s="13" t="s">
        <v>134</v>
      </c>
      <c r="Z11" s="13" t="s"/>
      <c r="AA11" s="13" t="s">
        <v>165</v>
      </c>
      <c r="AB11" s="13" t="s">
        <v>136</v>
      </c>
      <c r="AC11" s="13" t="s">
        <v>137</v>
      </c>
      <c r="AD11" s="13" t="s">
        <v>138</v>
      </c>
      <c r="AE11" s="13" t="s">
        <v>138</v>
      </c>
      <c r="AF11" s="13">
        <v>0</v>
      </c>
      <c r="AG11" s="13">
        <v>520</v>
      </c>
      <c r="AH11" s="13">
        <v>520</v>
      </c>
      <c r="AI11" s="13" t="s">
        <v>156</v>
      </c>
      <c r="AJ11" s="13" t="s">
        <v>156</v>
      </c>
      <c r="AK11" s="13" t="s">
        <v>140</v>
      </c>
      <c r="AL11" s="13">
        <v>0</v>
      </c>
      <c r="AM11" s="13">
        <v>1.21</v>
      </c>
      <c r="AN11" s="13">
        <v>1.21</v>
      </c>
      <c r="AO11" s="13">
        <v>10.04</v>
      </c>
      <c r="AP11" s="13">
        <v>38</v>
      </c>
      <c r="AQ11" s="13">
        <v>74</v>
      </c>
      <c r="AR11" s="13">
        <v>356.48</v>
      </c>
      <c r="AS11" s="13">
        <v>25</v>
      </c>
      <c r="AT11" s="13">
        <v>0</v>
      </c>
      <c r="AU11" s="13">
        <v>47</v>
      </c>
      <c r="AV11" s="13">
        <v>10</v>
      </c>
      <c r="AW11" s="13">
        <v>30</v>
      </c>
      <c r="AX11" s="13">
        <v>0</v>
      </c>
      <c r="AY11" s="13">
        <v>74</v>
      </c>
      <c r="AZ11" s="13">
        <v>236</v>
      </c>
      <c r="BA11" s="13">
        <v>25</v>
      </c>
      <c r="BB11" s="13" t="s"/>
      <c r="BC11" s="13" t="s"/>
      <c r="BD11" s="1">
        <f>=IF(IF(BC11&lt;&gt;"",IF(BB11&lt;&gt;"",CEILING(((BB11-BC11)/BB11)*100,1),IF(AND(O11&lt;&gt;"",O11&gt;0),CEILING((((O11-BC11)/O11)*100),1),"")),"")&gt;=0,IF(BC11&lt;&gt;"",IF(BB11&lt;&gt;"",CEILING(((BB11-BC11)/BB11)*100,1),IF(AND(O11&lt;&gt;"",O11&gt;0),CEILING((((O11-BC11)/O11)*100),1),"")),""), "Ошибка: цена до скидки должна быть больше текущей.")</f>
      </c>
      <c r="BE11" s="13" t="s"/>
      <c r="BF11" s="13" t="s"/>
      <c r="BG11" s="13" t="s"/>
      <c r="BH11" s="13" t="s"/>
      <c r="BI11" s="13" t="s"/>
      <c r="BJ11" s="13" t="s"/>
      <c r="BK11" s="13" t="s"/>
    </row>
    <row r="12" ht="20" customHeight="true">
      <c r="A12" s="13" t="s">
        <v>166</v>
      </c>
      <c r="B12" s="13">
        <v>910009917</v>
      </c>
      <c r="C12" s="13" t="s">
        <v>128</v>
      </c>
      <c r="D12" s="13" t="s">
        <v>129</v>
      </c>
      <c r="E12" s="13" t="s">
        <v>130</v>
      </c>
      <c r="F12" s="13">
        <v>484</v>
      </c>
      <c r="G12" s="13">
        <v>0</v>
      </c>
      <c r="H12" s="13">
        <v>2.912</v>
      </c>
      <c r="I12" s="13">
        <v>0.6</v>
      </c>
      <c r="J12" s="13" t="s">
        <v>167</v>
      </c>
      <c r="K12" s="13">
        <v>11388</v>
      </c>
      <c r="L12" s="13">
        <v>2245</v>
      </c>
      <c r="M12" s="13">
        <v>0.53</v>
      </c>
      <c r="N12" s="13">
        <v>12</v>
      </c>
      <c r="O12" s="13">
        <v>1366</v>
      </c>
      <c r="P12" s="13">
        <v>1004</v>
      </c>
      <c r="Q12" s="13">
        <v>27</v>
      </c>
      <c r="R12" s="13">
        <v>362</v>
      </c>
      <c r="S12" s="13">
        <v>949</v>
      </c>
      <c r="T12" s="13">
        <v>54</v>
      </c>
      <c r="U12" s="13">
        <v>726</v>
      </c>
      <c r="V12" s="13" t="s">
        <v>132</v>
      </c>
      <c r="W12" s="13">
        <v>968</v>
      </c>
      <c r="X12" s="13" t="s">
        <v>138</v>
      </c>
      <c r="Y12" s="13" t="s">
        <v>147</v>
      </c>
      <c r="Z12" s="13" t="s"/>
      <c r="AA12" s="13" t="s">
        <v>168</v>
      </c>
      <c r="AB12" s="13" t="s">
        <v>136</v>
      </c>
      <c r="AC12" s="13" t="s">
        <v>137</v>
      </c>
      <c r="AD12" s="13" t="s">
        <v>138</v>
      </c>
      <c r="AE12" s="13" t="s">
        <v>138</v>
      </c>
      <c r="AF12" s="13">
        <v>289.77</v>
      </c>
      <c r="AG12" s="13">
        <v>0</v>
      </c>
      <c r="AH12" s="13">
        <v>0</v>
      </c>
      <c r="AI12" s="13" t="s"/>
      <c r="AJ12" s="13" t="s"/>
      <c r="AK12" s="13" t="s">
        <v>140</v>
      </c>
      <c r="AL12" s="13">
        <v>1.51</v>
      </c>
      <c r="AM12" s="13">
        <v>0</v>
      </c>
      <c r="AN12" s="13">
        <v>0</v>
      </c>
      <c r="AO12" s="13">
        <v>9.49</v>
      </c>
      <c r="AP12" s="13">
        <v>38</v>
      </c>
      <c r="AQ12" s="13">
        <v>74</v>
      </c>
      <c r="AR12" s="13">
        <v>349.88</v>
      </c>
      <c r="AS12" s="13">
        <v>25</v>
      </c>
      <c r="AT12" s="13">
        <v>0</v>
      </c>
      <c r="AU12" s="13">
        <v>47</v>
      </c>
      <c r="AV12" s="13">
        <v>10</v>
      </c>
      <c r="AW12" s="13">
        <v>30</v>
      </c>
      <c r="AX12" s="13">
        <v>0</v>
      </c>
      <c r="AY12" s="13">
        <v>74</v>
      </c>
      <c r="AZ12" s="13">
        <v>236</v>
      </c>
      <c r="BA12" s="13">
        <v>25</v>
      </c>
      <c r="BB12" s="13" t="s"/>
      <c r="BC12" s="13" t="s"/>
      <c r="BD12" s="1">
        <f>=IF(IF(BC12&lt;&gt;"",IF(BB12&lt;&gt;"",CEILING(((BB12-BC12)/BB12)*100,1),IF(AND(O12&lt;&gt;"",O12&gt;0),CEILING((((O12-BC12)/O12)*100),1),"")),"")&gt;=0,IF(BC12&lt;&gt;"",IF(BB12&lt;&gt;"",CEILING(((BB12-BC12)/BB12)*100,1),IF(AND(O12&lt;&gt;"",O12&gt;0),CEILING((((O12-BC12)/O12)*100),1),"")),""), "Ошибка: цена до скидки должна быть больше текущей.")</f>
      </c>
      <c r="BE12" s="13" t="s"/>
      <c r="BF12" s="13" t="s"/>
      <c r="BG12" s="13" t="s"/>
      <c r="BH12" s="13" t="s"/>
      <c r="BI12" s="13" t="s"/>
      <c r="BJ12" s="13" t="s"/>
      <c r="BK12" s="13" t="s"/>
    </row>
    <row r="13" ht="20" customHeight="true">
      <c r="A13" s="13" t="s">
        <v>169</v>
      </c>
      <c r="B13" s="13">
        <v>910014986</v>
      </c>
      <c r="C13" s="13" t="s">
        <v>128</v>
      </c>
      <c r="D13" s="13" t="s">
        <v>129</v>
      </c>
      <c r="E13" s="13" t="s">
        <v>130</v>
      </c>
      <c r="F13" s="13">
        <v>2520</v>
      </c>
      <c r="G13" s="13">
        <v>0</v>
      </c>
      <c r="H13" s="13">
        <v>2.912</v>
      </c>
      <c r="I13" s="13">
        <v>0.6</v>
      </c>
      <c r="J13" s="13" t="s">
        <v>170</v>
      </c>
      <c r="K13" s="13">
        <v>45360</v>
      </c>
      <c r="L13" s="13">
        <v>8248</v>
      </c>
      <c r="M13" s="13">
        <v>0.58</v>
      </c>
      <c r="N13" s="13">
        <v>48</v>
      </c>
      <c r="O13" s="13">
        <v>1366</v>
      </c>
      <c r="P13" s="13">
        <v>1004</v>
      </c>
      <c r="Q13" s="13">
        <v>27</v>
      </c>
      <c r="R13" s="13">
        <v>362</v>
      </c>
      <c r="S13" s="13">
        <v>945</v>
      </c>
      <c r="T13" s="13">
        <v>54</v>
      </c>
      <c r="U13" s="13">
        <v>729</v>
      </c>
      <c r="V13" s="13" t="s">
        <v>132</v>
      </c>
      <c r="W13" s="13">
        <v>970</v>
      </c>
      <c r="X13" s="13" t="s">
        <v>138</v>
      </c>
      <c r="Y13" s="13" t="s">
        <v>147</v>
      </c>
      <c r="Z13" s="13" t="s"/>
      <c r="AA13" s="13" t="s">
        <v>171</v>
      </c>
      <c r="AB13" s="13" t="s">
        <v>172</v>
      </c>
      <c r="AC13" s="13" t="s">
        <v>173</v>
      </c>
      <c r="AD13" s="13" t="s">
        <v>138</v>
      </c>
      <c r="AE13" s="13" t="s">
        <v>138</v>
      </c>
      <c r="AF13" s="13">
        <v>0</v>
      </c>
      <c r="AG13" s="13">
        <v>364</v>
      </c>
      <c r="AH13" s="13">
        <v>364</v>
      </c>
      <c r="AI13" s="13" t="s">
        <v>174</v>
      </c>
      <c r="AJ13" s="13" t="s">
        <v>174</v>
      </c>
      <c r="AK13" s="13" t="s">
        <v>140</v>
      </c>
      <c r="AL13" s="13">
        <v>0</v>
      </c>
      <c r="AM13" s="13">
        <v>1.38</v>
      </c>
      <c r="AN13" s="13">
        <v>1.38</v>
      </c>
      <c r="AO13" s="13">
        <v>9.45</v>
      </c>
      <c r="AP13" s="13">
        <v>38</v>
      </c>
      <c r="AQ13" s="13">
        <v>74</v>
      </c>
      <c r="AR13" s="13">
        <v>349.4</v>
      </c>
      <c r="AS13" s="13">
        <v>25</v>
      </c>
      <c r="AT13" s="13">
        <v>0</v>
      </c>
      <c r="AU13" s="13">
        <v>47</v>
      </c>
      <c r="AV13" s="13">
        <v>10</v>
      </c>
      <c r="AW13" s="13">
        <v>30</v>
      </c>
      <c r="AX13" s="13">
        <v>0</v>
      </c>
      <c r="AY13" s="13">
        <v>74</v>
      </c>
      <c r="AZ13" s="13">
        <v>236</v>
      </c>
      <c r="BA13" s="13">
        <v>25</v>
      </c>
      <c r="BB13" s="13" t="s"/>
      <c r="BC13" s="13" t="s"/>
      <c r="BD13" s="1">
        <f>=IF(IF(BC13&lt;&gt;"",IF(BB13&lt;&gt;"",CEILING(((BB13-BC13)/BB13)*100,1),IF(AND(O13&lt;&gt;"",O13&gt;0),CEILING((((O13-BC13)/O13)*100),1),"")),"")&gt;=0,IF(BC13&lt;&gt;"",IF(BB13&lt;&gt;"",CEILING(((BB13-BC13)/BB13)*100,1),IF(AND(O13&lt;&gt;"",O13&gt;0),CEILING((((O13-BC13)/O13)*100),1),"")),""), "Ошибка: цена до скидки должна быть больше текущей.")</f>
      </c>
      <c r="BE13" s="13" t="s"/>
      <c r="BF13" s="13" t="s"/>
      <c r="BG13" s="13" t="s"/>
      <c r="BH13" s="13" t="s"/>
      <c r="BI13" s="13" t="s"/>
      <c r="BJ13" s="13" t="s"/>
      <c r="BK13" s="13" t="s"/>
    </row>
    <row r="14" ht="20" customHeight="true">
      <c r="A14" s="13" t="s">
        <v>175</v>
      </c>
      <c r="B14" s="13">
        <v>910015366</v>
      </c>
      <c r="C14" s="13" t="s">
        <v>128</v>
      </c>
      <c r="D14" s="13" t="s">
        <v>129</v>
      </c>
      <c r="E14" s="13" t="s">
        <v>130</v>
      </c>
      <c r="F14" s="13">
        <v>13753</v>
      </c>
      <c r="G14" s="13">
        <v>0</v>
      </c>
      <c r="H14" s="13">
        <v>2.091375</v>
      </c>
      <c r="I14" s="13">
        <v>0.4</v>
      </c>
      <c r="J14" s="13" t="s">
        <v>176</v>
      </c>
      <c r="K14" s="13">
        <v>275370</v>
      </c>
      <c r="L14" s="13">
        <v>320943</v>
      </c>
      <c r="M14" s="13">
        <v>0.1</v>
      </c>
      <c r="N14" s="13">
        <v>335</v>
      </c>
      <c r="O14" s="13">
        <v>1366</v>
      </c>
      <c r="P14" s="13">
        <v>1004</v>
      </c>
      <c r="Q14" s="13">
        <v>27</v>
      </c>
      <c r="R14" s="13">
        <v>362</v>
      </c>
      <c r="S14" s="13">
        <v>822</v>
      </c>
      <c r="T14" s="13">
        <v>65</v>
      </c>
      <c r="U14" s="13">
        <v>880</v>
      </c>
      <c r="V14" s="13" t="s">
        <v>132</v>
      </c>
      <c r="W14" s="13">
        <v>974</v>
      </c>
      <c r="X14" s="13" t="s">
        <v>138</v>
      </c>
      <c r="Y14" s="13" t="s">
        <v>147</v>
      </c>
      <c r="Z14" s="13" t="s"/>
      <c r="AA14" s="13" t="s">
        <v>153</v>
      </c>
      <c r="AB14" s="13" t="s">
        <v>177</v>
      </c>
      <c r="AC14" s="13" t="s"/>
      <c r="AD14" s="13" t="s">
        <v>138</v>
      </c>
      <c r="AE14" s="13" t="s">
        <v>138</v>
      </c>
      <c r="AF14" s="13">
        <v>0</v>
      </c>
      <c r="AG14" s="13">
        <v>364</v>
      </c>
      <c r="AH14" s="13">
        <v>364</v>
      </c>
      <c r="AI14" s="13" t="s">
        <v>174</v>
      </c>
      <c r="AJ14" s="13" t="s">
        <v>174</v>
      </c>
      <c r="AK14" s="13" t="s">
        <v>140</v>
      </c>
      <c r="AL14" s="13">
        <v>0</v>
      </c>
      <c r="AM14" s="13">
        <v>1.18</v>
      </c>
      <c r="AN14" s="13">
        <v>1.18</v>
      </c>
      <c r="AO14" s="13">
        <v>8.22</v>
      </c>
      <c r="AP14" s="13">
        <v>38</v>
      </c>
      <c r="AQ14" s="13">
        <v>74</v>
      </c>
      <c r="AR14" s="13">
        <v>334.64</v>
      </c>
      <c r="AS14" s="13">
        <v>25</v>
      </c>
      <c r="AT14" s="13">
        <v>0</v>
      </c>
      <c r="AU14" s="13">
        <v>47</v>
      </c>
      <c r="AV14" s="13">
        <v>10</v>
      </c>
      <c r="AW14" s="13">
        <v>30</v>
      </c>
      <c r="AX14" s="13">
        <v>0</v>
      </c>
      <c r="AY14" s="13">
        <v>74</v>
      </c>
      <c r="AZ14" s="13">
        <v>236</v>
      </c>
      <c r="BA14" s="13">
        <v>25</v>
      </c>
      <c r="BB14" s="13" t="s"/>
      <c r="BC14" s="13" t="s"/>
      <c r="BD14" s="1">
        <f>=IF(IF(BC14&lt;&gt;"",IF(BB14&lt;&gt;"",CEILING(((BB14-BC14)/BB14)*100,1),IF(AND(O14&lt;&gt;"",O14&gt;0),CEILING((((O14-BC14)/O14)*100),1),"")),"")&gt;=0,IF(BC14&lt;&gt;"",IF(BB14&lt;&gt;"",CEILING(((BB14-BC14)/BB14)*100,1),IF(AND(O14&lt;&gt;"",O14&gt;0),CEILING((((O14-BC14)/O14)*100),1),"")),""), "Ошибка: цена до скидки должна быть больше текущей.")</f>
      </c>
      <c r="BE14" s="13" t="s"/>
      <c r="BF14" s="13" t="s"/>
      <c r="BG14" s="13" t="s"/>
      <c r="BH14" s="13" t="s"/>
      <c r="BI14" s="13" t="s"/>
      <c r="BJ14" s="13" t="s"/>
      <c r="BK14" s="13" t="s"/>
    </row>
    <row r="15" ht="20" customHeight="true">
      <c r="A15" s="13" t="s">
        <v>178</v>
      </c>
      <c r="B15" s="13">
        <v>910016078</v>
      </c>
      <c r="C15" s="13" t="s">
        <v>128</v>
      </c>
      <c r="D15" s="13" t="s">
        <v>129</v>
      </c>
      <c r="E15" s="13" t="s">
        <v>130</v>
      </c>
      <c r="F15" s="13">
        <v>7385</v>
      </c>
      <c r="G15" s="13">
        <v>0</v>
      </c>
      <c r="H15" s="13">
        <v>2.63097</v>
      </c>
      <c r="I15" s="13">
        <v>0.5</v>
      </c>
      <c r="J15" s="13" t="s">
        <v>179</v>
      </c>
      <c r="K15" s="13">
        <v>122850</v>
      </c>
      <c r="L15" s="13">
        <v>15616</v>
      </c>
      <c r="M15" s="13">
        <v>0.83</v>
      </c>
      <c r="N15" s="13">
        <v>130</v>
      </c>
      <c r="O15" s="13">
        <v>1366</v>
      </c>
      <c r="P15" s="13">
        <v>1004</v>
      </c>
      <c r="Q15" s="13">
        <v>27</v>
      </c>
      <c r="R15" s="13">
        <v>362</v>
      </c>
      <c r="S15" s="13">
        <v>945</v>
      </c>
      <c r="T15" s="13">
        <v>54</v>
      </c>
      <c r="U15" s="13">
        <v>729</v>
      </c>
      <c r="V15" s="13" t="s">
        <v>132</v>
      </c>
      <c r="W15" s="13">
        <v>977</v>
      </c>
      <c r="X15" s="13" t="s">
        <v>138</v>
      </c>
      <c r="Y15" s="13" t="s">
        <v>147</v>
      </c>
      <c r="Z15" s="13" t="s"/>
      <c r="AA15" s="13" t="s">
        <v>159</v>
      </c>
      <c r="AB15" s="13" t="s">
        <v>180</v>
      </c>
      <c r="AC15" s="13" t="s">
        <v>181</v>
      </c>
      <c r="AD15" s="13" t="s">
        <v>138</v>
      </c>
      <c r="AE15" s="13" t="s">
        <v>138</v>
      </c>
      <c r="AF15" s="13">
        <v>0</v>
      </c>
      <c r="AG15" s="13">
        <v>364</v>
      </c>
      <c r="AH15" s="13">
        <v>364</v>
      </c>
      <c r="AI15" s="13" t="s">
        <v>174</v>
      </c>
      <c r="AJ15" s="13" t="s">
        <v>174</v>
      </c>
      <c r="AK15" s="13" t="s">
        <v>140</v>
      </c>
      <c r="AL15" s="13">
        <v>0</v>
      </c>
      <c r="AM15" s="13">
        <v>1.38</v>
      </c>
      <c r="AN15" s="13">
        <v>1.38</v>
      </c>
      <c r="AO15" s="13">
        <v>9.45</v>
      </c>
      <c r="AP15" s="13">
        <v>38</v>
      </c>
      <c r="AQ15" s="13">
        <v>74</v>
      </c>
      <c r="AR15" s="13">
        <v>349.4</v>
      </c>
      <c r="AS15" s="13">
        <v>25</v>
      </c>
      <c r="AT15" s="13">
        <v>0</v>
      </c>
      <c r="AU15" s="13">
        <v>47</v>
      </c>
      <c r="AV15" s="13">
        <v>10</v>
      </c>
      <c r="AW15" s="13">
        <v>30</v>
      </c>
      <c r="AX15" s="13">
        <v>0</v>
      </c>
      <c r="AY15" s="13">
        <v>74</v>
      </c>
      <c r="AZ15" s="13">
        <v>236</v>
      </c>
      <c r="BA15" s="13">
        <v>25</v>
      </c>
      <c r="BB15" s="13" t="s"/>
      <c r="BC15" s="13" t="s"/>
      <c r="BD15" s="1">
        <f>=IF(IF(BC15&lt;&gt;"",IF(BB15&lt;&gt;"",CEILING(((BB15-BC15)/BB15)*100,1),IF(AND(O15&lt;&gt;"",O15&gt;0),CEILING((((O15-BC15)/O15)*100),1),"")),"")&gt;=0,IF(BC15&lt;&gt;"",IF(BB15&lt;&gt;"",CEILING(((BB15-BC15)/BB15)*100,1),IF(AND(O15&lt;&gt;"",O15&gt;0),CEILING((((O15-BC15)/O15)*100),1),"")),""), "Ошибка: цена до скидки должна быть больше текущей.")</f>
      </c>
      <c r="BE15" s="13" t="s"/>
      <c r="BF15" s="13" t="s"/>
      <c r="BG15" s="13" t="s"/>
      <c r="BH15" s="13" t="s"/>
      <c r="BI15" s="13" t="s"/>
      <c r="BJ15" s="13" t="s"/>
      <c r="BK15" s="13" t="s"/>
    </row>
    <row r="16" ht="20" customHeight="true">
      <c r="A16" s="13" t="s">
        <v>182</v>
      </c>
      <c r="B16" s="13">
        <v>910017590</v>
      </c>
      <c r="C16" s="13" t="s">
        <v>128</v>
      </c>
      <c r="D16" s="13" t="s">
        <v>129</v>
      </c>
      <c r="E16" s="13" t="s">
        <v>130</v>
      </c>
      <c r="F16" s="13">
        <v>3448</v>
      </c>
      <c r="G16" s="13">
        <v>0</v>
      </c>
      <c r="H16" s="13">
        <v>2.912</v>
      </c>
      <c r="I16" s="13">
        <v>0.6</v>
      </c>
      <c r="J16" s="13" t="s">
        <v>183</v>
      </c>
      <c r="K16" s="13">
        <v>98280</v>
      </c>
      <c r="L16" s="13">
        <v>11856</v>
      </c>
      <c r="M16" s="13">
        <v>0.88</v>
      </c>
      <c r="N16" s="13">
        <v>104</v>
      </c>
      <c r="O16" s="13">
        <v>1366</v>
      </c>
      <c r="P16" s="13">
        <v>1004</v>
      </c>
      <c r="Q16" s="13">
        <v>27</v>
      </c>
      <c r="R16" s="13">
        <v>362</v>
      </c>
      <c r="S16" s="13">
        <v>945</v>
      </c>
      <c r="T16" s="13">
        <v>54</v>
      </c>
      <c r="U16" s="13">
        <v>729</v>
      </c>
      <c r="V16" s="13" t="s">
        <v>132</v>
      </c>
      <c r="W16" s="13">
        <v>980</v>
      </c>
      <c r="X16" s="13" t="s">
        <v>138</v>
      </c>
      <c r="Y16" s="13" t="s">
        <v>147</v>
      </c>
      <c r="Z16" s="13" t="s"/>
      <c r="AA16" s="13" t="s">
        <v>162</v>
      </c>
      <c r="AB16" s="13" t="s">
        <v>180</v>
      </c>
      <c r="AC16" s="13" t="s">
        <v>181</v>
      </c>
      <c r="AD16" s="13" t="s">
        <v>138</v>
      </c>
      <c r="AE16" s="13" t="s">
        <v>138</v>
      </c>
      <c r="AF16" s="13">
        <v>0</v>
      </c>
      <c r="AG16" s="13">
        <v>364</v>
      </c>
      <c r="AH16" s="13">
        <v>364</v>
      </c>
      <c r="AI16" s="13" t="s">
        <v>174</v>
      </c>
      <c r="AJ16" s="13" t="s">
        <v>174</v>
      </c>
      <c r="AK16" s="13" t="s">
        <v>140</v>
      </c>
      <c r="AL16" s="13">
        <v>0</v>
      </c>
      <c r="AM16" s="13">
        <v>1.38</v>
      </c>
      <c r="AN16" s="13">
        <v>1.38</v>
      </c>
      <c r="AO16" s="13">
        <v>9.45</v>
      </c>
      <c r="AP16" s="13">
        <v>38</v>
      </c>
      <c r="AQ16" s="13">
        <v>74</v>
      </c>
      <c r="AR16" s="13">
        <v>349.4</v>
      </c>
      <c r="AS16" s="13">
        <v>25</v>
      </c>
      <c r="AT16" s="13">
        <v>0</v>
      </c>
      <c r="AU16" s="13">
        <v>47</v>
      </c>
      <c r="AV16" s="13">
        <v>10</v>
      </c>
      <c r="AW16" s="13">
        <v>30</v>
      </c>
      <c r="AX16" s="13">
        <v>0</v>
      </c>
      <c r="AY16" s="13">
        <v>74</v>
      </c>
      <c r="AZ16" s="13">
        <v>236</v>
      </c>
      <c r="BA16" s="13">
        <v>25</v>
      </c>
      <c r="BB16" s="13" t="s"/>
      <c r="BC16" s="13" t="s"/>
      <c r="BD16" s="1">
        <f>=IF(IF(BC16&lt;&gt;"",IF(BB16&lt;&gt;"",CEILING(((BB16-BC16)/BB16)*100,1),IF(AND(O16&lt;&gt;"",O16&gt;0),CEILING((((O16-BC16)/O16)*100),1),"")),"")&gt;=0,IF(BC16&lt;&gt;"",IF(BB16&lt;&gt;"",CEILING(((BB16-BC16)/BB16)*100,1),IF(AND(O16&lt;&gt;"",O16&gt;0),CEILING((((O16-BC16)/O16)*100),1),"")),""), "Ошибка: цена до скидки должна быть больше текущей.")</f>
      </c>
      <c r="BE16" s="13" t="s"/>
      <c r="BF16" s="13" t="s"/>
      <c r="BG16" s="13" t="s"/>
      <c r="BH16" s="13" t="s"/>
      <c r="BI16" s="13" t="s"/>
      <c r="BJ16" s="13" t="s"/>
      <c r="BK16" s="13" t="s"/>
    </row>
    <row r="17" ht="20" customHeight="true">
      <c r="A17" s="13" t="s">
        <v>184</v>
      </c>
      <c r="B17" s="13">
        <v>910018667</v>
      </c>
      <c r="C17" s="13" t="s">
        <v>128</v>
      </c>
      <c r="D17" s="13" t="s">
        <v>129</v>
      </c>
      <c r="E17" s="13" t="s">
        <v>130</v>
      </c>
      <c r="F17" s="13">
        <v>2437</v>
      </c>
      <c r="G17" s="13">
        <v>0</v>
      </c>
      <c r="H17" s="13">
        <v>2.749824</v>
      </c>
      <c r="I17" s="13">
        <v>0.5</v>
      </c>
      <c r="J17" s="13" t="s">
        <v>185</v>
      </c>
      <c r="K17" s="13">
        <v>77818</v>
      </c>
      <c r="L17" s="13">
        <v>8623</v>
      </c>
      <c r="M17" s="13">
        <v>0.95</v>
      </c>
      <c r="N17" s="13">
        <v>82</v>
      </c>
      <c r="O17" s="13">
        <v>1366</v>
      </c>
      <c r="P17" s="13">
        <v>1004</v>
      </c>
      <c r="Q17" s="13">
        <v>27</v>
      </c>
      <c r="R17" s="13">
        <v>362</v>
      </c>
      <c r="S17" s="13">
        <v>949</v>
      </c>
      <c r="T17" s="13">
        <v>54</v>
      </c>
      <c r="U17" s="13">
        <v>726</v>
      </c>
      <c r="V17" s="13" t="s">
        <v>132</v>
      </c>
      <c r="W17" s="13">
        <v>983</v>
      </c>
      <c r="X17" s="13" t="s">
        <v>138</v>
      </c>
      <c r="Y17" s="13" t="s">
        <v>147</v>
      </c>
      <c r="Z17" s="13" t="s"/>
      <c r="AA17" s="13" t="s">
        <v>186</v>
      </c>
      <c r="AB17" s="13" t="s">
        <v>187</v>
      </c>
      <c r="AC17" s="13" t="s">
        <v>188</v>
      </c>
      <c r="AD17" s="13" t="s">
        <v>138</v>
      </c>
      <c r="AE17" s="13" t="s">
        <v>138</v>
      </c>
      <c r="AF17" s="13">
        <v>0</v>
      </c>
      <c r="AG17" s="13">
        <v>364</v>
      </c>
      <c r="AH17" s="13">
        <v>364</v>
      </c>
      <c r="AI17" s="13" t="s">
        <v>174</v>
      </c>
      <c r="AJ17" s="13" t="s">
        <v>174</v>
      </c>
      <c r="AK17" s="13" t="s">
        <v>140</v>
      </c>
      <c r="AL17" s="13">
        <v>0</v>
      </c>
      <c r="AM17" s="13">
        <v>1.38</v>
      </c>
      <c r="AN17" s="13">
        <v>1.38</v>
      </c>
      <c r="AO17" s="13">
        <v>9.49</v>
      </c>
      <c r="AP17" s="13">
        <v>38</v>
      </c>
      <c r="AQ17" s="13">
        <v>74</v>
      </c>
      <c r="AR17" s="13">
        <v>349.88</v>
      </c>
      <c r="AS17" s="13">
        <v>25</v>
      </c>
      <c r="AT17" s="13">
        <v>0</v>
      </c>
      <c r="AU17" s="13">
        <v>47</v>
      </c>
      <c r="AV17" s="13">
        <v>10</v>
      </c>
      <c r="AW17" s="13">
        <v>30</v>
      </c>
      <c r="AX17" s="13">
        <v>0</v>
      </c>
      <c r="AY17" s="13">
        <v>74</v>
      </c>
      <c r="AZ17" s="13">
        <v>236</v>
      </c>
      <c r="BA17" s="13">
        <v>25</v>
      </c>
      <c r="BB17" s="13" t="s"/>
      <c r="BC17" s="13" t="s"/>
      <c r="BD17" s="1">
        <f>=IF(IF(BC17&lt;&gt;"",IF(BB17&lt;&gt;"",CEILING(((BB17-BC17)/BB17)*100,1),IF(AND(O17&lt;&gt;"",O17&gt;0),CEILING((((O17-BC17)/O17)*100),1),"")),"")&gt;=0,IF(BC17&lt;&gt;"",IF(BB17&lt;&gt;"",CEILING(((BB17-BC17)/BB17)*100,1),IF(AND(O17&lt;&gt;"",O17&gt;0),CEILING((((O17-BC17)/O17)*100),1),"")),""), "Ошибка: цена до скидки должна быть больше текущей.")</f>
      </c>
      <c r="BE17" s="13" t="s"/>
      <c r="BF17" s="13" t="s"/>
      <c r="BG17" s="13" t="s"/>
      <c r="BH17" s="13" t="s"/>
      <c r="BI17" s="13" t="s"/>
      <c r="BJ17" s="13" t="s"/>
      <c r="BK17" s="13" t="s"/>
    </row>
    <row r="18" ht="20" customHeight="true">
      <c r="A18" s="13" t="s">
        <v>189</v>
      </c>
      <c r="B18" s="13">
        <v>910038586</v>
      </c>
      <c r="C18" s="13" t="s">
        <v>128</v>
      </c>
      <c r="D18" s="13" t="s">
        <v>129</v>
      </c>
      <c r="E18" s="13" t="s">
        <v>130</v>
      </c>
      <c r="F18" s="13">
        <v>233</v>
      </c>
      <c r="G18" s="13">
        <v>0</v>
      </c>
      <c r="H18" s="13">
        <v>2.912</v>
      </c>
      <c r="I18" s="13">
        <v>0.6</v>
      </c>
      <c r="J18" s="13" t="s">
        <v>190</v>
      </c>
      <c r="K18" s="13">
        <v>2008</v>
      </c>
      <c r="L18" s="13">
        <v>706</v>
      </c>
      <c r="M18" s="13">
        <v>0.28</v>
      </c>
      <c r="N18" s="13">
        <v>2</v>
      </c>
      <c r="O18" s="13">
        <v>1366</v>
      </c>
      <c r="P18" s="13">
        <v>1004</v>
      </c>
      <c r="Q18" s="13">
        <v>27</v>
      </c>
      <c r="R18" s="13">
        <v>362</v>
      </c>
      <c r="S18" s="13">
        <v>1004</v>
      </c>
      <c r="T18" s="13">
        <v>48</v>
      </c>
      <c r="U18" s="13">
        <v>651</v>
      </c>
      <c r="V18" s="13" t="s">
        <v>132</v>
      </c>
      <c r="W18" s="13">
        <v>502</v>
      </c>
      <c r="X18" s="13" t="s">
        <v>133</v>
      </c>
      <c r="Y18" s="13" t="s">
        <v>134</v>
      </c>
      <c r="Z18" s="13" t="s"/>
      <c r="AA18" s="13" t="s">
        <v>168</v>
      </c>
      <c r="AB18" s="13" t="s">
        <v>191</v>
      </c>
      <c r="AC18" s="13" t="s">
        <v>177</v>
      </c>
      <c r="AD18" s="13" t="s">
        <v>138</v>
      </c>
      <c r="AE18" s="13" t="s">
        <v>138</v>
      </c>
      <c r="AF18" s="13">
        <v>0</v>
      </c>
      <c r="AG18" s="13">
        <v>520</v>
      </c>
      <c r="AH18" s="13">
        <v>520</v>
      </c>
      <c r="AI18" s="13" t="s">
        <v>192</v>
      </c>
      <c r="AJ18" s="13" t="s">
        <v>192</v>
      </c>
      <c r="AK18" s="13" t="s">
        <v>140</v>
      </c>
      <c r="AL18" s="13">
        <v>0</v>
      </c>
      <c r="AM18" s="13">
        <v>1.21</v>
      </c>
      <c r="AN18" s="13">
        <v>1.21</v>
      </c>
      <c r="AO18" s="13">
        <v>10.04</v>
      </c>
      <c r="AP18" s="13">
        <v>38</v>
      </c>
      <c r="AQ18" s="13">
        <v>74</v>
      </c>
      <c r="AR18" s="13">
        <v>356.48</v>
      </c>
      <c r="AS18" s="13">
        <v>25</v>
      </c>
      <c r="AT18" s="13">
        <v>0</v>
      </c>
      <c r="AU18" s="13">
        <v>47</v>
      </c>
      <c r="AV18" s="13">
        <v>10</v>
      </c>
      <c r="AW18" s="13">
        <v>30</v>
      </c>
      <c r="AX18" s="13">
        <v>0</v>
      </c>
      <c r="AY18" s="13">
        <v>74</v>
      </c>
      <c r="AZ18" s="13">
        <v>236</v>
      </c>
      <c r="BA18" s="13">
        <v>25</v>
      </c>
      <c r="BB18" s="13" t="s"/>
      <c r="BC18" s="13" t="s"/>
      <c r="BD18" s="1">
        <f>=IF(IF(BC18&lt;&gt;"",IF(BB18&lt;&gt;"",CEILING(((BB18-BC18)/BB18)*100,1),IF(AND(O18&lt;&gt;"",O18&gt;0),CEILING((((O18-BC18)/O18)*100),1),"")),"")&gt;=0,IF(BC18&lt;&gt;"",IF(BB18&lt;&gt;"",CEILING(((BB18-BC18)/BB18)*100,1),IF(AND(O18&lt;&gt;"",O18&gt;0),CEILING((((O18-BC18)/O18)*100),1),"")),""), "Ошибка: цена до скидки должна быть больше текущей.")</f>
      </c>
      <c r="BE18" s="13" t="s"/>
      <c r="BF18" s="13" t="s"/>
      <c r="BG18" s="13" t="s"/>
      <c r="BH18" s="13" t="s"/>
      <c r="BI18" s="13" t="s"/>
      <c r="BJ18" s="13" t="s"/>
      <c r="BK18" s="13" t="s"/>
    </row>
    <row r="19" ht="20" customHeight="true">
      <c r="A19" s="13" t="s">
        <v>193</v>
      </c>
      <c r="B19" s="13">
        <v>910042783</v>
      </c>
      <c r="C19" s="13" t="s">
        <v>128</v>
      </c>
      <c r="D19" s="13" t="s">
        <v>129</v>
      </c>
      <c r="E19" s="13" t="s">
        <v>130</v>
      </c>
      <c r="F19" s="13">
        <v>792</v>
      </c>
      <c r="G19" s="13">
        <v>0</v>
      </c>
      <c r="H19" s="13">
        <v>1.782</v>
      </c>
      <c r="I19" s="13">
        <v>0.4</v>
      </c>
      <c r="J19" s="13" t="s">
        <v>194</v>
      </c>
      <c r="K19" s="13">
        <v>8032</v>
      </c>
      <c r="L19" s="13">
        <v>1606</v>
      </c>
      <c r="M19" s="13">
        <v>0.5</v>
      </c>
      <c r="N19" s="13">
        <v>8</v>
      </c>
      <c r="O19" s="13">
        <v>1366</v>
      </c>
      <c r="P19" s="13">
        <v>1004</v>
      </c>
      <c r="Q19" s="13">
        <v>27</v>
      </c>
      <c r="R19" s="13">
        <v>362</v>
      </c>
      <c r="S19" s="13">
        <v>1004</v>
      </c>
      <c r="T19" s="13">
        <v>48</v>
      </c>
      <c r="U19" s="13">
        <v>655</v>
      </c>
      <c r="V19" s="13" t="s">
        <v>132</v>
      </c>
      <c r="W19" s="13">
        <v>502</v>
      </c>
      <c r="X19" s="13" t="s">
        <v>133</v>
      </c>
      <c r="Y19" s="13" t="s">
        <v>134</v>
      </c>
      <c r="Z19" s="13" t="s"/>
      <c r="AA19" s="13" t="s">
        <v>171</v>
      </c>
      <c r="AB19" s="13" t="s">
        <v>191</v>
      </c>
      <c r="AC19" s="13" t="s">
        <v>177</v>
      </c>
      <c r="AD19" s="13" t="s">
        <v>138</v>
      </c>
      <c r="AE19" s="13" t="s">
        <v>138</v>
      </c>
      <c r="AF19" s="13">
        <v>0</v>
      </c>
      <c r="AG19" s="13">
        <v>520</v>
      </c>
      <c r="AH19" s="13">
        <v>520</v>
      </c>
      <c r="AI19" s="13" t="s">
        <v>192</v>
      </c>
      <c r="AJ19" s="13" t="s">
        <v>192</v>
      </c>
      <c r="AK19" s="13" t="s">
        <v>140</v>
      </c>
      <c r="AL19" s="13">
        <v>0</v>
      </c>
      <c r="AM19" s="13">
        <v>1.2</v>
      </c>
      <c r="AN19" s="13">
        <v>1.2</v>
      </c>
      <c r="AO19" s="13">
        <v>10.04</v>
      </c>
      <c r="AP19" s="13">
        <v>38</v>
      </c>
      <c r="AQ19" s="13">
        <v>74</v>
      </c>
      <c r="AR19" s="13">
        <v>338.48</v>
      </c>
      <c r="AS19" s="13">
        <v>25</v>
      </c>
      <c r="AT19" s="13">
        <v>0</v>
      </c>
      <c r="AU19" s="13">
        <v>47</v>
      </c>
      <c r="AV19" s="13">
        <v>10</v>
      </c>
      <c r="AW19" s="13">
        <v>30</v>
      </c>
      <c r="AX19" s="13">
        <v>0</v>
      </c>
      <c r="AY19" s="13">
        <v>74</v>
      </c>
      <c r="AZ19" s="13">
        <v>218</v>
      </c>
      <c r="BA19" s="13">
        <v>25</v>
      </c>
      <c r="BB19" s="13" t="s"/>
      <c r="BC19" s="13" t="s"/>
      <c r="BD19" s="1">
        <f>=IF(IF(BC19&lt;&gt;"",IF(BB19&lt;&gt;"",CEILING(((BB19-BC19)/BB19)*100,1),IF(AND(O19&lt;&gt;"",O19&gt;0),CEILING((((O19-BC19)/O19)*100),1),"")),"")&gt;=0,IF(BC19&lt;&gt;"",IF(BB19&lt;&gt;"",CEILING(((BB19-BC19)/BB19)*100,1),IF(AND(O19&lt;&gt;"",O19&gt;0),CEILING((((O19-BC19)/O19)*100),1),"")),""), "Ошибка: цена до скидки должна быть больше текущей.")</f>
      </c>
      <c r="BE19" s="13" t="s"/>
      <c r="BF19" s="13" t="s"/>
      <c r="BG19" s="13" t="s"/>
      <c r="BH19" s="13" t="s"/>
      <c r="BI19" s="13" t="s"/>
      <c r="BJ19" s="13" t="s"/>
      <c r="BK19" s="13" t="s"/>
    </row>
    <row r="20" ht="20" customHeight="true">
      <c r="A20" s="13" t="s">
        <v>195</v>
      </c>
      <c r="B20" s="13">
        <v>910041214</v>
      </c>
      <c r="C20" s="13" t="s">
        <v>128</v>
      </c>
      <c r="D20" s="13" t="s">
        <v>129</v>
      </c>
      <c r="E20" s="13" t="s">
        <v>130</v>
      </c>
      <c r="F20" s="13">
        <v>923</v>
      </c>
      <c r="G20" s="13">
        <v>0</v>
      </c>
      <c r="H20" s="13">
        <v>2.912</v>
      </c>
      <c r="I20" s="13">
        <v>0.6</v>
      </c>
      <c r="J20" s="13" t="s">
        <v>196</v>
      </c>
      <c r="K20" s="13">
        <v>9036</v>
      </c>
      <c r="L20" s="13">
        <v>1872</v>
      </c>
      <c r="M20" s="13">
        <v>0.48</v>
      </c>
      <c r="N20" s="13">
        <v>9</v>
      </c>
      <c r="O20" s="13">
        <v>1366</v>
      </c>
      <c r="P20" s="13">
        <v>1004</v>
      </c>
      <c r="Q20" s="13">
        <v>27</v>
      </c>
      <c r="R20" s="13">
        <v>362</v>
      </c>
      <c r="S20" s="13">
        <v>1004</v>
      </c>
      <c r="T20" s="13">
        <v>48</v>
      </c>
      <c r="U20" s="13">
        <v>651</v>
      </c>
      <c r="V20" s="13" t="s">
        <v>132</v>
      </c>
      <c r="W20" s="13">
        <v>502</v>
      </c>
      <c r="X20" s="13" t="s">
        <v>133</v>
      </c>
      <c r="Y20" s="13" t="s">
        <v>134</v>
      </c>
      <c r="Z20" s="13" t="s"/>
      <c r="AA20" s="13" t="s">
        <v>153</v>
      </c>
      <c r="AB20" s="13" t="s">
        <v>154</v>
      </c>
      <c r="AC20" s="13" t="s">
        <v>155</v>
      </c>
      <c r="AD20" s="13" t="s">
        <v>138</v>
      </c>
      <c r="AE20" s="13" t="s">
        <v>138</v>
      </c>
      <c r="AF20" s="13">
        <v>0</v>
      </c>
      <c r="AG20" s="13">
        <v>520</v>
      </c>
      <c r="AH20" s="13">
        <v>520</v>
      </c>
      <c r="AI20" s="13" t="s">
        <v>192</v>
      </c>
      <c r="AJ20" s="13" t="s">
        <v>192</v>
      </c>
      <c r="AK20" s="13" t="s">
        <v>140</v>
      </c>
      <c r="AL20" s="13">
        <v>0</v>
      </c>
      <c r="AM20" s="13">
        <v>1.21</v>
      </c>
      <c r="AN20" s="13">
        <v>1.21</v>
      </c>
      <c r="AO20" s="13">
        <v>10.04</v>
      </c>
      <c r="AP20" s="13">
        <v>38</v>
      </c>
      <c r="AQ20" s="13">
        <v>74</v>
      </c>
      <c r="AR20" s="13">
        <v>356.48</v>
      </c>
      <c r="AS20" s="13">
        <v>25</v>
      </c>
      <c r="AT20" s="13">
        <v>0</v>
      </c>
      <c r="AU20" s="13">
        <v>47</v>
      </c>
      <c r="AV20" s="13">
        <v>10</v>
      </c>
      <c r="AW20" s="13">
        <v>30</v>
      </c>
      <c r="AX20" s="13">
        <v>0</v>
      </c>
      <c r="AY20" s="13">
        <v>74</v>
      </c>
      <c r="AZ20" s="13">
        <v>236</v>
      </c>
      <c r="BA20" s="13">
        <v>25</v>
      </c>
      <c r="BB20" s="13" t="s"/>
      <c r="BC20" s="13" t="s"/>
      <c r="BD20" s="1">
        <f>=IF(IF(BC20&lt;&gt;"",IF(BB20&lt;&gt;"",CEILING(((BB20-BC20)/BB20)*100,1),IF(AND(O20&lt;&gt;"",O20&gt;0),CEILING((((O20-BC20)/O20)*100),1),"")),"")&gt;=0,IF(BC20&lt;&gt;"",IF(BB20&lt;&gt;"",CEILING(((BB20-BC20)/BB20)*100,1),IF(AND(O20&lt;&gt;"",O20&gt;0),CEILING((((O20-BC20)/O20)*100),1),"")),""), "Ошибка: цена до скидки должна быть больше текущей.")</f>
      </c>
      <c r="BE20" s="13" t="s"/>
      <c r="BF20" s="13" t="s"/>
      <c r="BG20" s="13" t="s"/>
      <c r="BH20" s="13" t="s"/>
      <c r="BI20" s="13" t="s"/>
      <c r="BJ20" s="13" t="s"/>
      <c r="BK20" s="13" t="s"/>
    </row>
    <row r="21" ht="20" customHeight="true">
      <c r="A21" s="13" t="s">
        <v>197</v>
      </c>
      <c r="B21" s="13">
        <v>910043021</v>
      </c>
      <c r="C21" s="13" t="s">
        <v>128</v>
      </c>
      <c r="D21" s="13" t="s">
        <v>129</v>
      </c>
      <c r="E21" s="13" t="s">
        <v>130</v>
      </c>
      <c r="F21" s="13">
        <v>743</v>
      </c>
      <c r="G21" s="13">
        <v>0</v>
      </c>
      <c r="H21" s="13">
        <v>1.782</v>
      </c>
      <c r="I21" s="13">
        <v>0.4</v>
      </c>
      <c r="J21" s="13" t="s">
        <v>198</v>
      </c>
      <c r="K21" s="13">
        <v>5020</v>
      </c>
      <c r="L21" s="13">
        <v>1659</v>
      </c>
      <c r="M21" s="13">
        <v>0.3</v>
      </c>
      <c r="N21" s="13">
        <v>5</v>
      </c>
      <c r="O21" s="13">
        <v>1366</v>
      </c>
      <c r="P21" s="13">
        <v>1004</v>
      </c>
      <c r="Q21" s="13">
        <v>27</v>
      </c>
      <c r="R21" s="13">
        <v>362</v>
      </c>
      <c r="S21" s="13">
        <v>1004</v>
      </c>
      <c r="T21" s="13">
        <v>48</v>
      </c>
      <c r="U21" s="13">
        <v>655</v>
      </c>
      <c r="V21" s="13" t="s">
        <v>132</v>
      </c>
      <c r="W21" s="13">
        <v>502</v>
      </c>
      <c r="X21" s="13" t="s">
        <v>133</v>
      </c>
      <c r="Y21" s="13" t="s">
        <v>134</v>
      </c>
      <c r="Z21" s="13" t="s"/>
      <c r="AA21" s="13" t="s">
        <v>159</v>
      </c>
      <c r="AB21" s="13" t="s">
        <v>154</v>
      </c>
      <c r="AC21" s="13" t="s">
        <v>155</v>
      </c>
      <c r="AD21" s="13" t="s">
        <v>138</v>
      </c>
      <c r="AE21" s="13" t="s">
        <v>138</v>
      </c>
      <c r="AF21" s="13">
        <v>0</v>
      </c>
      <c r="AG21" s="13">
        <v>520</v>
      </c>
      <c r="AH21" s="13">
        <v>520</v>
      </c>
      <c r="AI21" s="13" t="s">
        <v>192</v>
      </c>
      <c r="AJ21" s="13" t="s">
        <v>192</v>
      </c>
      <c r="AK21" s="13" t="s">
        <v>140</v>
      </c>
      <c r="AL21" s="13">
        <v>0</v>
      </c>
      <c r="AM21" s="13">
        <v>1.2</v>
      </c>
      <c r="AN21" s="13">
        <v>1.2</v>
      </c>
      <c r="AO21" s="13">
        <v>10.04</v>
      </c>
      <c r="AP21" s="13">
        <v>38</v>
      </c>
      <c r="AQ21" s="13">
        <v>74</v>
      </c>
      <c r="AR21" s="13">
        <v>338.48</v>
      </c>
      <c r="AS21" s="13">
        <v>25</v>
      </c>
      <c r="AT21" s="13">
        <v>0</v>
      </c>
      <c r="AU21" s="13">
        <v>47</v>
      </c>
      <c r="AV21" s="13">
        <v>10</v>
      </c>
      <c r="AW21" s="13">
        <v>30</v>
      </c>
      <c r="AX21" s="13">
        <v>0</v>
      </c>
      <c r="AY21" s="13">
        <v>74</v>
      </c>
      <c r="AZ21" s="13">
        <v>218</v>
      </c>
      <c r="BA21" s="13">
        <v>25</v>
      </c>
      <c r="BB21" s="13" t="s"/>
      <c r="BC21" s="13" t="s"/>
      <c r="BD21" s="1">
        <f>=IF(IF(BC21&lt;&gt;"",IF(BB21&lt;&gt;"",CEILING(((BB21-BC21)/BB21)*100,1),IF(AND(O21&lt;&gt;"",O21&gt;0),CEILING((((O21-BC21)/O21)*100),1),"")),"")&gt;=0,IF(BC21&lt;&gt;"",IF(BB21&lt;&gt;"",CEILING(((BB21-BC21)/BB21)*100,1),IF(AND(O21&lt;&gt;"",O21&gt;0),CEILING((((O21-BC21)/O21)*100),1),"")),""), "Ошибка: цена до скидки должна быть больше текущей.")</f>
      </c>
      <c r="BE21" s="13" t="s"/>
      <c r="BF21" s="13" t="s"/>
      <c r="BG21" s="13" t="s"/>
      <c r="BH21" s="13" t="s"/>
      <c r="BI21" s="13" t="s"/>
      <c r="BJ21" s="13" t="s"/>
      <c r="BK21" s="13" t="s"/>
    </row>
    <row r="22" ht="20" customHeight="true">
      <c r="A22" s="13" t="s">
        <v>199</v>
      </c>
      <c r="B22" s="13">
        <v>910044888</v>
      </c>
      <c r="C22" s="13" t="s">
        <v>128</v>
      </c>
      <c r="D22" s="13" t="s">
        <v>129</v>
      </c>
      <c r="E22" s="13" t="s">
        <v>130</v>
      </c>
      <c r="F22" s="13">
        <v>81</v>
      </c>
      <c r="G22" s="13">
        <v>0</v>
      </c>
      <c r="H22" s="13">
        <v>2.912</v>
      </c>
      <c r="I22" s="13">
        <v>0.6</v>
      </c>
      <c r="J22" s="13" t="s">
        <v>200</v>
      </c>
      <c r="K22" s="13">
        <v>7028</v>
      </c>
      <c r="L22" s="13">
        <v>852</v>
      </c>
      <c r="M22" s="13">
        <v>0.82</v>
      </c>
      <c r="N22" s="13">
        <v>7</v>
      </c>
      <c r="O22" s="13">
        <v>1366</v>
      </c>
      <c r="P22" s="13">
        <v>1004</v>
      </c>
      <c r="Q22" s="13">
        <v>27</v>
      </c>
      <c r="R22" s="13">
        <v>362</v>
      </c>
      <c r="S22" s="13">
        <v>1004</v>
      </c>
      <c r="T22" s="13">
        <v>48</v>
      </c>
      <c r="U22" s="13">
        <v>651</v>
      </c>
      <c r="V22" s="13" t="s">
        <v>132</v>
      </c>
      <c r="W22" s="13">
        <v>502</v>
      </c>
      <c r="X22" s="13" t="s">
        <v>133</v>
      </c>
      <c r="Y22" s="13" t="s">
        <v>134</v>
      </c>
      <c r="Z22" s="13" t="s"/>
      <c r="AA22" s="13" t="s">
        <v>162</v>
      </c>
      <c r="AB22" s="13" t="s">
        <v>136</v>
      </c>
      <c r="AC22" s="13" t="s">
        <v>137</v>
      </c>
      <c r="AD22" s="13" t="s">
        <v>138</v>
      </c>
      <c r="AE22" s="13" t="s">
        <v>138</v>
      </c>
      <c r="AF22" s="13">
        <v>0</v>
      </c>
      <c r="AG22" s="13">
        <v>520</v>
      </c>
      <c r="AH22" s="13">
        <v>520</v>
      </c>
      <c r="AI22" s="13" t="s">
        <v>192</v>
      </c>
      <c r="AJ22" s="13" t="s">
        <v>192</v>
      </c>
      <c r="AK22" s="13" t="s">
        <v>140</v>
      </c>
      <c r="AL22" s="13">
        <v>0</v>
      </c>
      <c r="AM22" s="13">
        <v>1.21</v>
      </c>
      <c r="AN22" s="13">
        <v>1.21</v>
      </c>
      <c r="AO22" s="13">
        <v>10.04</v>
      </c>
      <c r="AP22" s="13">
        <v>38</v>
      </c>
      <c r="AQ22" s="13">
        <v>74</v>
      </c>
      <c r="AR22" s="13">
        <v>356.48</v>
      </c>
      <c r="AS22" s="13">
        <v>25</v>
      </c>
      <c r="AT22" s="13">
        <v>0</v>
      </c>
      <c r="AU22" s="13">
        <v>47</v>
      </c>
      <c r="AV22" s="13">
        <v>10</v>
      </c>
      <c r="AW22" s="13">
        <v>30</v>
      </c>
      <c r="AX22" s="13">
        <v>0</v>
      </c>
      <c r="AY22" s="13">
        <v>74</v>
      </c>
      <c r="AZ22" s="13">
        <v>236</v>
      </c>
      <c r="BA22" s="13">
        <v>25</v>
      </c>
      <c r="BB22" s="13" t="s"/>
      <c r="BC22" s="13" t="s"/>
      <c r="BD22" s="1">
        <f>=IF(IF(BC22&lt;&gt;"",IF(BB22&lt;&gt;"",CEILING(((BB22-BC22)/BB22)*100,1),IF(AND(O22&lt;&gt;"",O22&gt;0),CEILING((((O22-BC22)/O22)*100),1),"")),"")&gt;=0,IF(BC22&lt;&gt;"",IF(BB22&lt;&gt;"",CEILING(((BB22-BC22)/BB22)*100,1),IF(AND(O22&lt;&gt;"",O22&gt;0),CEILING((((O22-BC22)/O22)*100),1),"")),""), "Ошибка: цена до скидки должна быть больше текущей.")</f>
      </c>
      <c r="BE22" s="13" t="s"/>
      <c r="BF22" s="13" t="s"/>
      <c r="BG22" s="13" t="s"/>
      <c r="BH22" s="13" t="s"/>
      <c r="BI22" s="13" t="s"/>
      <c r="BJ22" s="13" t="s"/>
      <c r="BK22" s="13" t="s"/>
    </row>
    <row r="23" ht="20" customHeight="true">
      <c r="A23" s="13" t="s">
        <v>201</v>
      </c>
      <c r="B23" s="13">
        <v>910047866</v>
      </c>
      <c r="C23" s="13" t="s">
        <v>128</v>
      </c>
      <c r="D23" s="13" t="s">
        <v>129</v>
      </c>
      <c r="E23" s="13" t="s">
        <v>130</v>
      </c>
      <c r="F23" s="13">
        <v>357</v>
      </c>
      <c r="G23" s="13">
        <v>0</v>
      </c>
      <c r="H23" s="13">
        <v>2.76066</v>
      </c>
      <c r="I23" s="13">
        <v>0.6</v>
      </c>
      <c r="J23" s="13" t="s">
        <v>202</v>
      </c>
      <c r="K23" s="13">
        <v>7028</v>
      </c>
      <c r="L23" s="13">
        <v>614</v>
      </c>
      <c r="M23" s="13">
        <v>1.14</v>
      </c>
      <c r="N23" s="13">
        <v>7</v>
      </c>
      <c r="O23" s="13">
        <v>1366</v>
      </c>
      <c r="P23" s="13">
        <v>1004</v>
      </c>
      <c r="Q23" s="13">
        <v>27</v>
      </c>
      <c r="R23" s="13">
        <v>362</v>
      </c>
      <c r="S23" s="13">
        <v>1004</v>
      </c>
      <c r="T23" s="13">
        <v>48</v>
      </c>
      <c r="U23" s="13">
        <v>651</v>
      </c>
      <c r="V23" s="13" t="s">
        <v>132</v>
      </c>
      <c r="W23" s="13">
        <v>502</v>
      </c>
      <c r="X23" s="13" t="s">
        <v>133</v>
      </c>
      <c r="Y23" s="13" t="s">
        <v>134</v>
      </c>
      <c r="Z23" s="13" t="s"/>
      <c r="AA23" s="13" t="s">
        <v>165</v>
      </c>
      <c r="AB23" s="13" t="s">
        <v>136</v>
      </c>
      <c r="AC23" s="13" t="s">
        <v>137</v>
      </c>
      <c r="AD23" s="13" t="s">
        <v>138</v>
      </c>
      <c r="AE23" s="13" t="s">
        <v>138</v>
      </c>
      <c r="AF23" s="13">
        <v>0</v>
      </c>
      <c r="AG23" s="13">
        <v>520</v>
      </c>
      <c r="AH23" s="13">
        <v>520</v>
      </c>
      <c r="AI23" s="13" t="s">
        <v>192</v>
      </c>
      <c r="AJ23" s="13" t="s">
        <v>192</v>
      </c>
      <c r="AK23" s="13" t="s">
        <v>140</v>
      </c>
      <c r="AL23" s="13">
        <v>0</v>
      </c>
      <c r="AM23" s="13">
        <v>1.21</v>
      </c>
      <c r="AN23" s="13">
        <v>1.21</v>
      </c>
      <c r="AO23" s="13">
        <v>10.04</v>
      </c>
      <c r="AP23" s="13">
        <v>38</v>
      </c>
      <c r="AQ23" s="13">
        <v>74</v>
      </c>
      <c r="AR23" s="13">
        <v>356.48</v>
      </c>
      <c r="AS23" s="13">
        <v>25</v>
      </c>
      <c r="AT23" s="13">
        <v>0</v>
      </c>
      <c r="AU23" s="13">
        <v>47</v>
      </c>
      <c r="AV23" s="13">
        <v>10</v>
      </c>
      <c r="AW23" s="13">
        <v>30</v>
      </c>
      <c r="AX23" s="13">
        <v>0</v>
      </c>
      <c r="AY23" s="13">
        <v>74</v>
      </c>
      <c r="AZ23" s="13">
        <v>236</v>
      </c>
      <c r="BA23" s="13">
        <v>25</v>
      </c>
      <c r="BB23" s="13" t="s"/>
      <c r="BC23" s="13" t="s"/>
      <c r="BD23" s="1">
        <f>=IF(IF(BC23&lt;&gt;"",IF(BB23&lt;&gt;"",CEILING(((BB23-BC23)/BB23)*100,1),IF(AND(O23&lt;&gt;"",O23&gt;0),CEILING((((O23-BC23)/O23)*100),1),"")),"")&gt;=0,IF(BC23&lt;&gt;"",IF(BB23&lt;&gt;"",CEILING(((BB23-BC23)/BB23)*100,1),IF(AND(O23&lt;&gt;"",O23&gt;0),CEILING((((O23-BC23)/O23)*100),1),"")),""), "Ошибка: цена до скидки должна быть больше текущей.")</f>
      </c>
      <c r="BE23" s="13" t="s"/>
      <c r="BF23" s="13" t="s"/>
      <c r="BG23" s="13" t="s"/>
      <c r="BH23" s="13" t="s"/>
      <c r="BI23" s="13" t="s"/>
      <c r="BJ23" s="13" t="s"/>
      <c r="BK23" s="13" t="s"/>
    </row>
    <row r="24" ht="20" customHeight="true">
      <c r="A24" s="13" t="s">
        <v>203</v>
      </c>
      <c r="B24" s="13">
        <v>910284889</v>
      </c>
      <c r="C24" s="13" t="s">
        <v>128</v>
      </c>
      <c r="D24" s="13" t="s">
        <v>129</v>
      </c>
      <c r="E24" s="13" t="s">
        <v>130</v>
      </c>
      <c r="F24" s="13">
        <v>1774</v>
      </c>
      <c r="G24" s="13">
        <v>0</v>
      </c>
      <c r="H24" s="13">
        <v>2.912</v>
      </c>
      <c r="I24" s="13">
        <v>0.6</v>
      </c>
      <c r="J24" s="13" t="s">
        <v>204</v>
      </c>
      <c r="K24" s="13">
        <v>23092</v>
      </c>
      <c r="L24" s="13">
        <v>3690</v>
      </c>
      <c r="M24" s="13">
        <v>0.62</v>
      </c>
      <c r="N24" s="13">
        <v>23</v>
      </c>
      <c r="O24" s="13">
        <v>1366</v>
      </c>
      <c r="P24" s="13">
        <v>1004</v>
      </c>
      <c r="Q24" s="13">
        <v>27</v>
      </c>
      <c r="R24" s="13">
        <v>362</v>
      </c>
      <c r="S24" s="13">
        <v>1004</v>
      </c>
      <c r="T24" s="13">
        <v>48</v>
      </c>
      <c r="U24" s="13">
        <v>651</v>
      </c>
      <c r="V24" s="13" t="s">
        <v>132</v>
      </c>
      <c r="W24" s="13">
        <v>502</v>
      </c>
      <c r="X24" s="13" t="s">
        <v>133</v>
      </c>
      <c r="Y24" s="13" t="s">
        <v>134</v>
      </c>
      <c r="Z24" s="13" t="s"/>
      <c r="AA24" s="13" t="s">
        <v>153</v>
      </c>
      <c r="AB24" s="13" t="s">
        <v>154</v>
      </c>
      <c r="AC24" s="13" t="s">
        <v>155</v>
      </c>
      <c r="AD24" s="13" t="s">
        <v>138</v>
      </c>
      <c r="AE24" s="13" t="s">
        <v>138</v>
      </c>
      <c r="AF24" s="13">
        <v>0</v>
      </c>
      <c r="AG24" s="13">
        <v>520</v>
      </c>
      <c r="AH24" s="13">
        <v>520</v>
      </c>
      <c r="AI24" s="13" t="s">
        <v>205</v>
      </c>
      <c r="AJ24" s="13" t="s">
        <v>205</v>
      </c>
      <c r="AK24" s="13" t="s">
        <v>140</v>
      </c>
      <c r="AL24" s="13">
        <v>0</v>
      </c>
      <c r="AM24" s="13">
        <v>1.21</v>
      </c>
      <c r="AN24" s="13">
        <v>1.21</v>
      </c>
      <c r="AO24" s="13">
        <v>10.04</v>
      </c>
      <c r="AP24" s="13">
        <v>38</v>
      </c>
      <c r="AQ24" s="13">
        <v>74</v>
      </c>
      <c r="AR24" s="13">
        <v>356.48</v>
      </c>
      <c r="AS24" s="13">
        <v>25</v>
      </c>
      <c r="AT24" s="13">
        <v>0</v>
      </c>
      <c r="AU24" s="13">
        <v>47</v>
      </c>
      <c r="AV24" s="13">
        <v>10</v>
      </c>
      <c r="AW24" s="13">
        <v>30</v>
      </c>
      <c r="AX24" s="13">
        <v>0</v>
      </c>
      <c r="AY24" s="13">
        <v>74</v>
      </c>
      <c r="AZ24" s="13">
        <v>236</v>
      </c>
      <c r="BA24" s="13">
        <v>25</v>
      </c>
      <c r="BB24" s="13" t="s"/>
      <c r="BC24" s="13" t="s"/>
      <c r="BD24" s="1">
        <f>=IF(IF(BC24&lt;&gt;"",IF(BB24&lt;&gt;"",CEILING(((BB24-BC24)/BB24)*100,1),IF(AND(O24&lt;&gt;"",O24&gt;0),CEILING((((O24-BC24)/O24)*100),1),"")),"")&gt;=0,IF(BC24&lt;&gt;"",IF(BB24&lt;&gt;"",CEILING(((BB24-BC24)/BB24)*100,1),IF(AND(O24&lt;&gt;"",O24&gt;0),CEILING((((O24-BC24)/O24)*100),1),"")),""), "Ошибка: цена до скидки должна быть больше текущей.")</f>
      </c>
      <c r="BE24" s="13" t="s"/>
      <c r="BF24" s="13" t="s"/>
      <c r="BG24" s="13" t="s"/>
      <c r="BH24" s="13" t="s"/>
      <c r="BI24" s="13" t="s"/>
      <c r="BJ24" s="13" t="s"/>
      <c r="BK24" s="13" t="s"/>
    </row>
    <row r="25" ht="20" customHeight="true">
      <c r="A25" s="13" t="s">
        <v>206</v>
      </c>
      <c r="B25" s="13">
        <v>910285845</v>
      </c>
      <c r="C25" s="13" t="s">
        <v>128</v>
      </c>
      <c r="D25" s="13" t="s">
        <v>129</v>
      </c>
      <c r="E25" s="13" t="s">
        <v>130</v>
      </c>
      <c r="F25" s="13">
        <v>2143</v>
      </c>
      <c r="G25" s="13">
        <v>0</v>
      </c>
      <c r="H25" s="13">
        <v>1.782</v>
      </c>
      <c r="I25" s="13">
        <v>0.4</v>
      </c>
      <c r="J25" s="13" t="s">
        <v>207</v>
      </c>
      <c r="K25" s="13">
        <v>19560</v>
      </c>
      <c r="L25" s="13">
        <v>4565</v>
      </c>
      <c r="M25" s="13">
        <v>0.44</v>
      </c>
      <c r="N25" s="13">
        <v>20</v>
      </c>
      <c r="O25" s="13">
        <v>1366</v>
      </c>
      <c r="P25" s="13">
        <v>1004</v>
      </c>
      <c r="Q25" s="13">
        <v>27</v>
      </c>
      <c r="R25" s="13">
        <v>362</v>
      </c>
      <c r="S25" s="13">
        <v>978</v>
      </c>
      <c r="T25" s="13">
        <v>52</v>
      </c>
      <c r="U25" s="13">
        <v>709</v>
      </c>
      <c r="V25" s="13" t="s">
        <v>132</v>
      </c>
      <c r="W25" s="13">
        <v>974</v>
      </c>
      <c r="X25" s="13" t="s">
        <v>138</v>
      </c>
      <c r="Y25" s="13" t="s">
        <v>147</v>
      </c>
      <c r="Z25" s="13" t="s"/>
      <c r="AA25" s="13" t="s">
        <v>159</v>
      </c>
      <c r="AB25" s="13" t="s">
        <v>136</v>
      </c>
      <c r="AC25" s="13" t="s">
        <v>137</v>
      </c>
      <c r="AD25" s="13" t="s">
        <v>138</v>
      </c>
      <c r="AE25" s="13" t="s">
        <v>138</v>
      </c>
      <c r="AF25" s="13">
        <v>0</v>
      </c>
      <c r="AG25" s="13">
        <v>520</v>
      </c>
      <c r="AH25" s="13">
        <v>520</v>
      </c>
      <c r="AI25" s="13" t="s">
        <v>205</v>
      </c>
      <c r="AJ25" s="13" t="s">
        <v>205</v>
      </c>
      <c r="AK25" s="13" t="s">
        <v>140</v>
      </c>
      <c r="AL25" s="13">
        <v>0</v>
      </c>
      <c r="AM25" s="13">
        <v>1.13</v>
      </c>
      <c r="AN25" s="13">
        <v>1.13</v>
      </c>
      <c r="AO25" s="13">
        <v>9.78</v>
      </c>
      <c r="AP25" s="13">
        <v>38</v>
      </c>
      <c r="AQ25" s="13">
        <v>74</v>
      </c>
      <c r="AR25" s="13">
        <v>335.36</v>
      </c>
      <c r="AS25" s="13">
        <v>25</v>
      </c>
      <c r="AT25" s="13">
        <v>0</v>
      </c>
      <c r="AU25" s="13">
        <v>47</v>
      </c>
      <c r="AV25" s="13">
        <v>10</v>
      </c>
      <c r="AW25" s="13">
        <v>30</v>
      </c>
      <c r="AX25" s="13">
        <v>0</v>
      </c>
      <c r="AY25" s="13">
        <v>74</v>
      </c>
      <c r="AZ25" s="13">
        <v>218</v>
      </c>
      <c r="BA25" s="13">
        <v>25</v>
      </c>
      <c r="BB25" s="13" t="s"/>
      <c r="BC25" s="13" t="s"/>
      <c r="BD25" s="1">
        <f>=IF(IF(BC25&lt;&gt;"",IF(BB25&lt;&gt;"",CEILING(((BB25-BC25)/BB25)*100,1),IF(AND(O25&lt;&gt;"",O25&gt;0),CEILING((((O25-BC25)/O25)*100),1),"")),"")&gt;=0,IF(BC25&lt;&gt;"",IF(BB25&lt;&gt;"",CEILING(((BB25-BC25)/BB25)*100,1),IF(AND(O25&lt;&gt;"",O25&gt;0),CEILING((((O25-BC25)/O25)*100),1),"")),""), "Ошибка: цена до скидки должна быть больше текущей.")</f>
      </c>
      <c r="BE25" s="13" t="s"/>
      <c r="BF25" s="13" t="s"/>
      <c r="BG25" s="13" t="s"/>
      <c r="BH25" s="13" t="s"/>
      <c r="BI25" s="13" t="s"/>
      <c r="BJ25" s="13" t="s"/>
      <c r="BK25" s="13" t="s"/>
    </row>
    <row r="26" ht="20" customHeight="true">
      <c r="A26" s="13" t="s">
        <v>208</v>
      </c>
      <c r="B26" s="13">
        <v>910285104</v>
      </c>
      <c r="C26" s="13" t="s">
        <v>128</v>
      </c>
      <c r="D26" s="13" t="s">
        <v>129</v>
      </c>
      <c r="E26" s="13" t="s">
        <v>130</v>
      </c>
      <c r="F26" s="13">
        <v>908</v>
      </c>
      <c r="G26" s="13">
        <v>0</v>
      </c>
      <c r="H26" s="13">
        <v>2.912</v>
      </c>
      <c r="I26" s="13">
        <v>0.6</v>
      </c>
      <c r="J26" s="13" t="s">
        <v>209</v>
      </c>
      <c r="K26" s="13">
        <v>10040</v>
      </c>
      <c r="L26" s="13">
        <v>2184</v>
      </c>
      <c r="M26" s="13">
        <v>0.46</v>
      </c>
      <c r="N26" s="13">
        <v>10</v>
      </c>
      <c r="O26" s="13">
        <v>1366</v>
      </c>
      <c r="P26" s="13">
        <v>1004</v>
      </c>
      <c r="Q26" s="13">
        <v>27</v>
      </c>
      <c r="R26" s="13">
        <v>362</v>
      </c>
      <c r="S26" s="13">
        <v>1004</v>
      </c>
      <c r="T26" s="13">
        <v>48</v>
      </c>
      <c r="U26" s="13">
        <v>651</v>
      </c>
      <c r="V26" s="13" t="s">
        <v>132</v>
      </c>
      <c r="W26" s="13">
        <v>502</v>
      </c>
      <c r="X26" s="13" t="s">
        <v>133</v>
      </c>
      <c r="Y26" s="13" t="s">
        <v>134</v>
      </c>
      <c r="Z26" s="13" t="s"/>
      <c r="AA26" s="13" t="s">
        <v>210</v>
      </c>
      <c r="AB26" s="13" t="s">
        <v>191</v>
      </c>
      <c r="AC26" s="13" t="s">
        <v>177</v>
      </c>
      <c r="AD26" s="13" t="s">
        <v>138</v>
      </c>
      <c r="AE26" s="13" t="s">
        <v>138</v>
      </c>
      <c r="AF26" s="13">
        <v>0</v>
      </c>
      <c r="AG26" s="13">
        <v>520</v>
      </c>
      <c r="AH26" s="13">
        <v>520</v>
      </c>
      <c r="AI26" s="13" t="s">
        <v>205</v>
      </c>
      <c r="AJ26" s="13" t="s">
        <v>205</v>
      </c>
      <c r="AK26" s="13" t="s">
        <v>140</v>
      </c>
      <c r="AL26" s="13">
        <v>0</v>
      </c>
      <c r="AM26" s="13">
        <v>1.21</v>
      </c>
      <c r="AN26" s="13">
        <v>1.21</v>
      </c>
      <c r="AO26" s="13">
        <v>10.04</v>
      </c>
      <c r="AP26" s="13">
        <v>38</v>
      </c>
      <c r="AQ26" s="13">
        <v>74</v>
      </c>
      <c r="AR26" s="13">
        <v>356.48</v>
      </c>
      <c r="AS26" s="13">
        <v>25</v>
      </c>
      <c r="AT26" s="13">
        <v>0</v>
      </c>
      <c r="AU26" s="13">
        <v>47</v>
      </c>
      <c r="AV26" s="13">
        <v>10</v>
      </c>
      <c r="AW26" s="13">
        <v>30</v>
      </c>
      <c r="AX26" s="13">
        <v>0</v>
      </c>
      <c r="AY26" s="13">
        <v>74</v>
      </c>
      <c r="AZ26" s="13">
        <v>236</v>
      </c>
      <c r="BA26" s="13">
        <v>25</v>
      </c>
      <c r="BB26" s="13" t="s"/>
      <c r="BC26" s="13" t="s"/>
      <c r="BD26" s="1">
        <f>=IF(IF(BC26&lt;&gt;"",IF(BB26&lt;&gt;"",CEILING(((BB26-BC26)/BB26)*100,1),IF(AND(O26&lt;&gt;"",O26&gt;0),CEILING((((O26-BC26)/O26)*100),1),"")),"")&gt;=0,IF(BC26&lt;&gt;"",IF(BB26&lt;&gt;"",CEILING(((BB26-BC26)/BB26)*100,1),IF(AND(O26&lt;&gt;"",O26&gt;0),CEILING((((O26-BC26)/O26)*100),1),"")),""), "Ошибка: цена до скидки должна быть больше текущей.")</f>
      </c>
      <c r="BE26" s="13" t="s"/>
      <c r="BF26" s="13" t="s"/>
      <c r="BG26" s="13" t="s"/>
      <c r="BH26" s="13" t="s"/>
      <c r="BI26" s="13" t="s"/>
      <c r="BJ26" s="13" t="s"/>
      <c r="BK26" s="13" t="s"/>
    </row>
    <row r="27" ht="20" customHeight="true">
      <c r="A27" s="13" t="s">
        <v>211</v>
      </c>
      <c r="B27" s="13">
        <v>910285360</v>
      </c>
      <c r="C27" s="13" t="s">
        <v>128</v>
      </c>
      <c r="D27" s="13" t="s">
        <v>129</v>
      </c>
      <c r="E27" s="13" t="s">
        <v>130</v>
      </c>
      <c r="F27" s="13">
        <v>645</v>
      </c>
      <c r="G27" s="13">
        <v>0</v>
      </c>
      <c r="H27" s="13">
        <v>2.912</v>
      </c>
      <c r="I27" s="13">
        <v>0.6</v>
      </c>
      <c r="J27" s="13" t="s">
        <v>212</v>
      </c>
      <c r="K27" s="13">
        <v>13052</v>
      </c>
      <c r="L27" s="13">
        <v>1552</v>
      </c>
      <c r="M27" s="13">
        <v>0.84</v>
      </c>
      <c r="N27" s="13">
        <v>13</v>
      </c>
      <c r="O27" s="13">
        <v>1366</v>
      </c>
      <c r="P27" s="13">
        <v>1004</v>
      </c>
      <c r="Q27" s="13">
        <v>27</v>
      </c>
      <c r="R27" s="13">
        <v>362</v>
      </c>
      <c r="S27" s="13">
        <v>1004</v>
      </c>
      <c r="T27" s="13">
        <v>48</v>
      </c>
      <c r="U27" s="13">
        <v>651</v>
      </c>
      <c r="V27" s="13" t="s">
        <v>132</v>
      </c>
      <c r="W27" s="13">
        <v>502</v>
      </c>
      <c r="X27" s="13" t="s">
        <v>133</v>
      </c>
      <c r="Y27" s="13" t="s">
        <v>134</v>
      </c>
      <c r="Z27" s="13" t="s"/>
      <c r="AA27" s="13" t="s">
        <v>213</v>
      </c>
      <c r="AB27" s="13" t="s">
        <v>136</v>
      </c>
      <c r="AC27" s="13" t="s">
        <v>137</v>
      </c>
      <c r="AD27" s="13" t="s">
        <v>138</v>
      </c>
      <c r="AE27" s="13" t="s">
        <v>138</v>
      </c>
      <c r="AF27" s="13">
        <v>0</v>
      </c>
      <c r="AG27" s="13">
        <v>520</v>
      </c>
      <c r="AH27" s="13">
        <v>520</v>
      </c>
      <c r="AI27" s="13" t="s">
        <v>205</v>
      </c>
      <c r="AJ27" s="13" t="s">
        <v>205</v>
      </c>
      <c r="AK27" s="13" t="s">
        <v>140</v>
      </c>
      <c r="AL27" s="13">
        <v>0</v>
      </c>
      <c r="AM27" s="13">
        <v>1.21</v>
      </c>
      <c r="AN27" s="13">
        <v>1.21</v>
      </c>
      <c r="AO27" s="13">
        <v>10.04</v>
      </c>
      <c r="AP27" s="13">
        <v>38</v>
      </c>
      <c r="AQ27" s="13">
        <v>74</v>
      </c>
      <c r="AR27" s="13">
        <v>356.48</v>
      </c>
      <c r="AS27" s="13">
        <v>25</v>
      </c>
      <c r="AT27" s="13">
        <v>0</v>
      </c>
      <c r="AU27" s="13">
        <v>47</v>
      </c>
      <c r="AV27" s="13">
        <v>10</v>
      </c>
      <c r="AW27" s="13">
        <v>30</v>
      </c>
      <c r="AX27" s="13">
        <v>0</v>
      </c>
      <c r="AY27" s="13">
        <v>74</v>
      </c>
      <c r="AZ27" s="13">
        <v>236</v>
      </c>
      <c r="BA27" s="13">
        <v>25</v>
      </c>
      <c r="BB27" s="13" t="s"/>
      <c r="BC27" s="13" t="s"/>
      <c r="BD27" s="1">
        <f>=IF(IF(BC27&lt;&gt;"",IF(BB27&lt;&gt;"",CEILING(((BB27-BC27)/BB27)*100,1),IF(AND(O27&lt;&gt;"",O27&gt;0),CEILING((((O27-BC27)/O27)*100),1),"")),"")&gt;=0,IF(BC27&lt;&gt;"",IF(BB27&lt;&gt;"",CEILING(((BB27-BC27)/BB27)*100,1),IF(AND(O27&lt;&gt;"",O27&gt;0),CEILING((((O27-BC27)/O27)*100),1),"")),""), "Ошибка: цена до скидки должна быть больше текущей.")</f>
      </c>
      <c r="BE27" s="13" t="s"/>
      <c r="BF27" s="13" t="s"/>
      <c r="BG27" s="13" t="s"/>
      <c r="BH27" s="13" t="s"/>
      <c r="BI27" s="13" t="s"/>
      <c r="BJ27" s="13" t="s"/>
      <c r="BK27" s="13" t="s"/>
    </row>
    <row r="28" ht="20" customHeight="true">
      <c r="A28" s="13" t="s">
        <v>214</v>
      </c>
      <c r="B28" s="13">
        <v>910285420</v>
      </c>
      <c r="C28" s="13" t="s">
        <v>128</v>
      </c>
      <c r="D28" s="13" t="s">
        <v>129</v>
      </c>
      <c r="E28" s="13" t="s">
        <v>130</v>
      </c>
      <c r="F28" s="13">
        <v>405</v>
      </c>
      <c r="G28" s="13">
        <v>0</v>
      </c>
      <c r="H28" s="13">
        <v>2.912</v>
      </c>
      <c r="I28" s="13">
        <v>0.6</v>
      </c>
      <c r="J28" s="13" t="s">
        <v>215</v>
      </c>
      <c r="K28" s="13">
        <v>7028</v>
      </c>
      <c r="L28" s="13">
        <v>860</v>
      </c>
      <c r="M28" s="13">
        <v>0.81</v>
      </c>
      <c r="N28" s="13">
        <v>7</v>
      </c>
      <c r="O28" s="13">
        <v>1366</v>
      </c>
      <c r="P28" s="13">
        <v>1004</v>
      </c>
      <c r="Q28" s="13">
        <v>27</v>
      </c>
      <c r="R28" s="13">
        <v>362</v>
      </c>
      <c r="S28" s="13">
        <v>1004</v>
      </c>
      <c r="T28" s="13">
        <v>48</v>
      </c>
      <c r="U28" s="13">
        <v>651</v>
      </c>
      <c r="V28" s="13" t="s">
        <v>132</v>
      </c>
      <c r="W28" s="13">
        <v>502</v>
      </c>
      <c r="X28" s="13" t="s">
        <v>133</v>
      </c>
      <c r="Y28" s="13" t="s">
        <v>134</v>
      </c>
      <c r="Z28" s="13" t="s"/>
      <c r="AA28" s="13" t="s">
        <v>186</v>
      </c>
      <c r="AB28" s="13" t="s">
        <v>136</v>
      </c>
      <c r="AC28" s="13" t="s">
        <v>137</v>
      </c>
      <c r="AD28" s="13" t="s">
        <v>138</v>
      </c>
      <c r="AE28" s="13" t="s">
        <v>138</v>
      </c>
      <c r="AF28" s="13">
        <v>0</v>
      </c>
      <c r="AG28" s="13">
        <v>520</v>
      </c>
      <c r="AH28" s="13">
        <v>520</v>
      </c>
      <c r="AI28" s="13" t="s">
        <v>205</v>
      </c>
      <c r="AJ28" s="13" t="s">
        <v>205</v>
      </c>
      <c r="AK28" s="13" t="s">
        <v>140</v>
      </c>
      <c r="AL28" s="13">
        <v>0</v>
      </c>
      <c r="AM28" s="13">
        <v>1.21</v>
      </c>
      <c r="AN28" s="13">
        <v>1.21</v>
      </c>
      <c r="AO28" s="13">
        <v>10.04</v>
      </c>
      <c r="AP28" s="13">
        <v>38</v>
      </c>
      <c r="AQ28" s="13">
        <v>74</v>
      </c>
      <c r="AR28" s="13">
        <v>356.48</v>
      </c>
      <c r="AS28" s="13">
        <v>25</v>
      </c>
      <c r="AT28" s="13">
        <v>0</v>
      </c>
      <c r="AU28" s="13">
        <v>47</v>
      </c>
      <c r="AV28" s="13">
        <v>10</v>
      </c>
      <c r="AW28" s="13">
        <v>30</v>
      </c>
      <c r="AX28" s="13">
        <v>0</v>
      </c>
      <c r="AY28" s="13">
        <v>74</v>
      </c>
      <c r="AZ28" s="13">
        <v>236</v>
      </c>
      <c r="BA28" s="13">
        <v>25</v>
      </c>
      <c r="BB28" s="13" t="s"/>
      <c r="BC28" s="13" t="s"/>
      <c r="BD28" s="1">
        <f>=IF(IF(BC28&lt;&gt;"",IF(BB28&lt;&gt;"",CEILING(((BB28-BC28)/BB28)*100,1),IF(AND(O28&lt;&gt;"",O28&gt;0),CEILING((((O28-BC28)/O28)*100),1),"")),"")&gt;=0,IF(BC28&lt;&gt;"",IF(BB28&lt;&gt;"",CEILING(((BB28-BC28)/BB28)*100,1),IF(AND(O28&lt;&gt;"",O28&gt;0),CEILING((((O28-BC28)/O28)*100),1),"")),""), "Ошибка: цена до скидки должна быть больше текущей.")</f>
      </c>
      <c r="BE28" s="13" t="s"/>
      <c r="BF28" s="13" t="s"/>
      <c r="BG28" s="13" t="s"/>
      <c r="BH28" s="13" t="s"/>
      <c r="BI28" s="13" t="s"/>
      <c r="BJ28" s="13" t="s"/>
      <c r="BK28" s="13" t="s"/>
    </row>
    <row r="29" ht="20" customHeight="true">
      <c r="A29" s="13" t="s">
        <v>216</v>
      </c>
      <c r="B29" s="13">
        <v>910330524</v>
      </c>
      <c r="C29" s="13" t="s">
        <v>128</v>
      </c>
      <c r="D29" s="13" t="s">
        <v>129</v>
      </c>
      <c r="E29" s="13" t="s">
        <v>130</v>
      </c>
      <c r="F29" s="13">
        <v>862</v>
      </c>
      <c r="G29" s="13">
        <v>0</v>
      </c>
      <c r="H29" s="13">
        <v>2.15586</v>
      </c>
      <c r="I29" s="13">
        <v>0.4</v>
      </c>
      <c r="J29" s="13" t="s">
        <v>217</v>
      </c>
      <c r="K29" s="13">
        <v>11044</v>
      </c>
      <c r="L29" s="13">
        <v>3765</v>
      </c>
      <c r="M29" s="13">
        <v>0.29</v>
      </c>
      <c r="N29" s="13">
        <v>11</v>
      </c>
      <c r="O29" s="13">
        <v>1366</v>
      </c>
      <c r="P29" s="13">
        <v>1004</v>
      </c>
      <c r="Q29" s="13">
        <v>27</v>
      </c>
      <c r="R29" s="13">
        <v>362</v>
      </c>
      <c r="S29" s="13">
        <v>1004</v>
      </c>
      <c r="T29" s="13">
        <v>48</v>
      </c>
      <c r="U29" s="13">
        <v>651</v>
      </c>
      <c r="V29" s="13" t="s">
        <v>132</v>
      </c>
      <c r="W29" s="13">
        <v>502</v>
      </c>
      <c r="X29" s="13" t="s">
        <v>133</v>
      </c>
      <c r="Y29" s="13" t="s">
        <v>134</v>
      </c>
      <c r="Z29" s="13" t="s"/>
      <c r="AA29" s="13" t="s">
        <v>218</v>
      </c>
      <c r="AB29" s="13" t="s">
        <v>172</v>
      </c>
      <c r="AC29" s="13" t="s">
        <v>173</v>
      </c>
      <c r="AD29" s="13" t="s">
        <v>138</v>
      </c>
      <c r="AE29" s="13" t="s">
        <v>138</v>
      </c>
      <c r="AF29" s="13">
        <v>0</v>
      </c>
      <c r="AG29" s="13">
        <v>520</v>
      </c>
      <c r="AH29" s="13">
        <v>520</v>
      </c>
      <c r="AI29" s="13" t="s">
        <v>219</v>
      </c>
      <c r="AJ29" s="13" t="s">
        <v>219</v>
      </c>
      <c r="AK29" s="13" t="s">
        <v>140</v>
      </c>
      <c r="AL29" s="13">
        <v>0</v>
      </c>
      <c r="AM29" s="13">
        <v>1.21</v>
      </c>
      <c r="AN29" s="13">
        <v>1.21</v>
      </c>
      <c r="AO29" s="13">
        <v>10.04</v>
      </c>
      <c r="AP29" s="13">
        <v>38</v>
      </c>
      <c r="AQ29" s="13">
        <v>74</v>
      </c>
      <c r="AR29" s="13">
        <v>356.48</v>
      </c>
      <c r="AS29" s="13">
        <v>25</v>
      </c>
      <c r="AT29" s="13">
        <v>0</v>
      </c>
      <c r="AU29" s="13">
        <v>47</v>
      </c>
      <c r="AV29" s="13">
        <v>10</v>
      </c>
      <c r="AW29" s="13">
        <v>30</v>
      </c>
      <c r="AX29" s="13">
        <v>0</v>
      </c>
      <c r="AY29" s="13">
        <v>74</v>
      </c>
      <c r="AZ29" s="13">
        <v>236</v>
      </c>
      <c r="BA29" s="13">
        <v>25</v>
      </c>
      <c r="BB29" s="13" t="s"/>
      <c r="BC29" s="13" t="s"/>
      <c r="BD29" s="1">
        <f>=IF(IF(BC29&lt;&gt;"",IF(BB29&lt;&gt;"",CEILING(((BB29-BC29)/BB29)*100,1),IF(AND(O29&lt;&gt;"",O29&gt;0),CEILING((((O29-BC29)/O29)*100),1),"")),"")&gt;=0,IF(BC29&lt;&gt;"",IF(BB29&lt;&gt;"",CEILING(((BB29-BC29)/BB29)*100,1),IF(AND(O29&lt;&gt;"",O29&gt;0),CEILING((((O29-BC29)/O29)*100),1),"")),""), "Ошибка: цена до скидки должна быть больше текущей.")</f>
      </c>
      <c r="BE29" s="13" t="s"/>
      <c r="BF29" s="13" t="s"/>
      <c r="BG29" s="13" t="s"/>
      <c r="BH29" s="13" t="s"/>
      <c r="BI29" s="13" t="s"/>
      <c r="BJ29" s="13" t="s"/>
      <c r="BK29" s="13" t="s"/>
    </row>
    <row r="30" ht="20" customHeight="true">
      <c r="A30" s="13" t="s">
        <v>220</v>
      </c>
      <c r="B30" s="13">
        <v>910330242</v>
      </c>
      <c r="C30" s="13" t="s">
        <v>128</v>
      </c>
      <c r="D30" s="13" t="s">
        <v>129</v>
      </c>
      <c r="E30" s="13" t="s">
        <v>130</v>
      </c>
      <c r="F30" s="13">
        <v>327</v>
      </c>
      <c r="G30" s="13">
        <v>0</v>
      </c>
      <c r="H30" s="13">
        <v>1.782</v>
      </c>
      <c r="I30" s="13">
        <v>0.4</v>
      </c>
      <c r="J30" s="13" t="s">
        <v>221</v>
      </c>
      <c r="K30" s="13">
        <v>7028</v>
      </c>
      <c r="L30" s="13">
        <v>1871</v>
      </c>
      <c r="M30" s="13">
        <v>0.37</v>
      </c>
      <c r="N30" s="13">
        <v>7</v>
      </c>
      <c r="O30" s="13">
        <v>1366</v>
      </c>
      <c r="P30" s="13">
        <v>1004</v>
      </c>
      <c r="Q30" s="13">
        <v>27</v>
      </c>
      <c r="R30" s="13">
        <v>362</v>
      </c>
      <c r="S30" s="13">
        <v>1004</v>
      </c>
      <c r="T30" s="13">
        <v>48</v>
      </c>
      <c r="U30" s="13">
        <v>655</v>
      </c>
      <c r="V30" s="13" t="s">
        <v>132</v>
      </c>
      <c r="W30" s="13">
        <v>502</v>
      </c>
      <c r="X30" s="13" t="s">
        <v>133</v>
      </c>
      <c r="Y30" s="13" t="s">
        <v>134</v>
      </c>
      <c r="Z30" s="13" t="s"/>
      <c r="AA30" s="13" t="s">
        <v>159</v>
      </c>
      <c r="AB30" s="13" t="s">
        <v>154</v>
      </c>
      <c r="AC30" s="13" t="s">
        <v>155</v>
      </c>
      <c r="AD30" s="13" t="s">
        <v>138</v>
      </c>
      <c r="AE30" s="13" t="s">
        <v>138</v>
      </c>
      <c r="AF30" s="13">
        <v>0</v>
      </c>
      <c r="AG30" s="13">
        <v>520</v>
      </c>
      <c r="AH30" s="13">
        <v>520</v>
      </c>
      <c r="AI30" s="13" t="s">
        <v>222</v>
      </c>
      <c r="AJ30" s="13" t="s">
        <v>222</v>
      </c>
      <c r="AK30" s="13" t="s">
        <v>140</v>
      </c>
      <c r="AL30" s="13">
        <v>0</v>
      </c>
      <c r="AM30" s="13">
        <v>1.2</v>
      </c>
      <c r="AN30" s="13">
        <v>1.2</v>
      </c>
      <c r="AO30" s="13">
        <v>10.04</v>
      </c>
      <c r="AP30" s="13">
        <v>38</v>
      </c>
      <c r="AQ30" s="13">
        <v>74</v>
      </c>
      <c r="AR30" s="13">
        <v>338.48</v>
      </c>
      <c r="AS30" s="13">
        <v>25</v>
      </c>
      <c r="AT30" s="13">
        <v>0</v>
      </c>
      <c r="AU30" s="13">
        <v>47</v>
      </c>
      <c r="AV30" s="13">
        <v>10</v>
      </c>
      <c r="AW30" s="13">
        <v>30</v>
      </c>
      <c r="AX30" s="13">
        <v>0</v>
      </c>
      <c r="AY30" s="13">
        <v>74</v>
      </c>
      <c r="AZ30" s="13">
        <v>218</v>
      </c>
      <c r="BA30" s="13">
        <v>25</v>
      </c>
      <c r="BB30" s="13" t="s"/>
      <c r="BC30" s="13" t="s"/>
      <c r="BD30" s="1">
        <f>=IF(IF(BC30&lt;&gt;"",IF(BB30&lt;&gt;"",CEILING(((BB30-BC30)/BB30)*100,1),IF(AND(O30&lt;&gt;"",O30&gt;0),CEILING((((O30-BC30)/O30)*100),1),"")),"")&gt;=0,IF(BC30&lt;&gt;"",IF(BB30&lt;&gt;"",CEILING(((BB30-BC30)/BB30)*100,1),IF(AND(O30&lt;&gt;"",O30&gt;0),CEILING((((O30-BC30)/O30)*100),1),"")),""), "Ошибка: цена до скидки должна быть больше текущей.")</f>
      </c>
      <c r="BE30" s="13" t="s"/>
      <c r="BF30" s="13" t="s"/>
      <c r="BG30" s="13" t="s"/>
      <c r="BH30" s="13" t="s"/>
      <c r="BI30" s="13" t="s"/>
      <c r="BJ30" s="13" t="s"/>
      <c r="BK30" s="13" t="s"/>
    </row>
    <row r="31" ht="20" customHeight="true">
      <c r="A31" s="13" t="s">
        <v>223</v>
      </c>
      <c r="B31" s="13">
        <v>910329937</v>
      </c>
      <c r="C31" s="13" t="s">
        <v>128</v>
      </c>
      <c r="D31" s="13" t="s">
        <v>129</v>
      </c>
      <c r="E31" s="13" t="s">
        <v>130</v>
      </c>
      <c r="F31" s="13">
        <v>667</v>
      </c>
      <c r="G31" s="13">
        <v>0</v>
      </c>
      <c r="H31" s="13">
        <v>2.912</v>
      </c>
      <c r="I31" s="13">
        <v>0.6</v>
      </c>
      <c r="J31" s="13" t="s">
        <v>224</v>
      </c>
      <c r="K31" s="13">
        <v>16064</v>
      </c>
      <c r="L31" s="13">
        <v>2101</v>
      </c>
      <c r="M31" s="13">
        <v>0.76</v>
      </c>
      <c r="N31" s="13">
        <v>16</v>
      </c>
      <c r="O31" s="13">
        <v>1366</v>
      </c>
      <c r="P31" s="13">
        <v>1004</v>
      </c>
      <c r="Q31" s="13">
        <v>27</v>
      </c>
      <c r="R31" s="13">
        <v>362</v>
      </c>
      <c r="S31" s="13">
        <v>1004</v>
      </c>
      <c r="T31" s="13">
        <v>48</v>
      </c>
      <c r="U31" s="13">
        <v>651</v>
      </c>
      <c r="V31" s="13" t="s">
        <v>132</v>
      </c>
      <c r="W31" s="13">
        <v>502</v>
      </c>
      <c r="X31" s="13" t="s">
        <v>133</v>
      </c>
      <c r="Y31" s="13" t="s">
        <v>134</v>
      </c>
      <c r="Z31" s="13" t="s"/>
      <c r="AA31" s="13" t="s">
        <v>213</v>
      </c>
      <c r="AB31" s="13" t="s">
        <v>136</v>
      </c>
      <c r="AC31" s="13" t="s">
        <v>137</v>
      </c>
      <c r="AD31" s="13" t="s">
        <v>138</v>
      </c>
      <c r="AE31" s="13" t="s">
        <v>138</v>
      </c>
      <c r="AF31" s="13">
        <v>0</v>
      </c>
      <c r="AG31" s="13">
        <v>520</v>
      </c>
      <c r="AH31" s="13">
        <v>520</v>
      </c>
      <c r="AI31" s="13" t="s">
        <v>219</v>
      </c>
      <c r="AJ31" s="13" t="s">
        <v>219</v>
      </c>
      <c r="AK31" s="13" t="s">
        <v>140</v>
      </c>
      <c r="AL31" s="13">
        <v>0</v>
      </c>
      <c r="AM31" s="13">
        <v>1.21</v>
      </c>
      <c r="AN31" s="13">
        <v>1.21</v>
      </c>
      <c r="AO31" s="13">
        <v>10.04</v>
      </c>
      <c r="AP31" s="13">
        <v>38</v>
      </c>
      <c r="AQ31" s="13">
        <v>74</v>
      </c>
      <c r="AR31" s="13">
        <v>356.48</v>
      </c>
      <c r="AS31" s="13">
        <v>25</v>
      </c>
      <c r="AT31" s="13">
        <v>0</v>
      </c>
      <c r="AU31" s="13">
        <v>47</v>
      </c>
      <c r="AV31" s="13">
        <v>10</v>
      </c>
      <c r="AW31" s="13">
        <v>30</v>
      </c>
      <c r="AX31" s="13">
        <v>0</v>
      </c>
      <c r="AY31" s="13">
        <v>74</v>
      </c>
      <c r="AZ31" s="13">
        <v>236</v>
      </c>
      <c r="BA31" s="13">
        <v>25</v>
      </c>
      <c r="BB31" s="13" t="s"/>
      <c r="BC31" s="13" t="s"/>
      <c r="BD31" s="1">
        <f>=IF(IF(BC31&lt;&gt;"",IF(BB31&lt;&gt;"",CEILING(((BB31-BC31)/BB31)*100,1),IF(AND(O31&lt;&gt;"",O31&gt;0),CEILING((((O31-BC31)/O31)*100),1),"")),"")&gt;=0,IF(BC31&lt;&gt;"",IF(BB31&lt;&gt;"",CEILING(((BB31-BC31)/BB31)*100,1),IF(AND(O31&lt;&gt;"",O31&gt;0),CEILING((((O31-BC31)/O31)*100),1),"")),""), "Ошибка: цена до скидки должна быть больше текущей.")</f>
      </c>
      <c r="BE31" s="13" t="s"/>
      <c r="BF31" s="13" t="s"/>
      <c r="BG31" s="13" t="s"/>
      <c r="BH31" s="13" t="s"/>
      <c r="BI31" s="13" t="s"/>
      <c r="BJ31" s="13" t="s"/>
      <c r="BK31" s="13" t="s"/>
    </row>
    <row r="32" ht="20" customHeight="true">
      <c r="A32" s="13" t="s">
        <v>225</v>
      </c>
      <c r="B32" s="13">
        <v>910331294</v>
      </c>
      <c r="C32" s="13" t="s">
        <v>128</v>
      </c>
      <c r="D32" s="13" t="s">
        <v>129</v>
      </c>
      <c r="E32" s="13" t="s">
        <v>130</v>
      </c>
      <c r="F32" s="13">
        <v>213</v>
      </c>
      <c r="G32" s="13">
        <v>0</v>
      </c>
      <c r="H32" s="13">
        <v>1.84275</v>
      </c>
      <c r="I32" s="13">
        <v>0.4</v>
      </c>
      <c r="J32" s="13" t="s">
        <v>226</v>
      </c>
      <c r="K32" s="13">
        <v>2008</v>
      </c>
      <c r="L32" s="13">
        <v>1049</v>
      </c>
      <c r="M32" s="13">
        <v>0.19</v>
      </c>
      <c r="N32" s="13">
        <v>2</v>
      </c>
      <c r="O32" s="13">
        <v>1366</v>
      </c>
      <c r="P32" s="13">
        <v>1004</v>
      </c>
      <c r="Q32" s="13">
        <v>27</v>
      </c>
      <c r="R32" s="13">
        <v>362</v>
      </c>
      <c r="S32" s="13">
        <v>1004</v>
      </c>
      <c r="T32" s="13">
        <v>48</v>
      </c>
      <c r="U32" s="13">
        <v>655</v>
      </c>
      <c r="V32" s="13" t="s">
        <v>132</v>
      </c>
      <c r="W32" s="13">
        <v>502</v>
      </c>
      <c r="X32" s="13" t="s">
        <v>133</v>
      </c>
      <c r="Y32" s="13" t="s">
        <v>134</v>
      </c>
      <c r="Z32" s="13" t="s"/>
      <c r="AA32" s="13" t="s">
        <v>213</v>
      </c>
      <c r="AB32" s="13" t="s">
        <v>136</v>
      </c>
      <c r="AC32" s="13" t="s">
        <v>137</v>
      </c>
      <c r="AD32" s="13" t="s">
        <v>138</v>
      </c>
      <c r="AE32" s="13" t="s">
        <v>138</v>
      </c>
      <c r="AF32" s="13">
        <v>0</v>
      </c>
      <c r="AG32" s="13">
        <v>520</v>
      </c>
      <c r="AH32" s="13">
        <v>520</v>
      </c>
      <c r="AI32" s="13" t="s">
        <v>227</v>
      </c>
      <c r="AJ32" s="13" t="s">
        <v>227</v>
      </c>
      <c r="AK32" s="13" t="s">
        <v>140</v>
      </c>
      <c r="AL32" s="13">
        <v>0</v>
      </c>
      <c r="AM32" s="13">
        <v>1.2</v>
      </c>
      <c r="AN32" s="13">
        <v>1.2</v>
      </c>
      <c r="AO32" s="13">
        <v>10.04</v>
      </c>
      <c r="AP32" s="13">
        <v>38</v>
      </c>
      <c r="AQ32" s="13">
        <v>74</v>
      </c>
      <c r="AR32" s="13">
        <v>338.48</v>
      </c>
      <c r="AS32" s="13">
        <v>25</v>
      </c>
      <c r="AT32" s="13">
        <v>0</v>
      </c>
      <c r="AU32" s="13">
        <v>47</v>
      </c>
      <c r="AV32" s="13">
        <v>10</v>
      </c>
      <c r="AW32" s="13">
        <v>30</v>
      </c>
      <c r="AX32" s="13">
        <v>0</v>
      </c>
      <c r="AY32" s="13">
        <v>74</v>
      </c>
      <c r="AZ32" s="13">
        <v>218</v>
      </c>
      <c r="BA32" s="13">
        <v>25</v>
      </c>
      <c r="BB32" s="13" t="s"/>
      <c r="BC32" s="13" t="s"/>
      <c r="BD32" s="1">
        <f>=IF(IF(BC32&lt;&gt;"",IF(BB32&lt;&gt;"",CEILING(((BB32-BC32)/BB32)*100,1),IF(AND(O32&lt;&gt;"",O32&gt;0),CEILING((((O32-BC32)/O32)*100),1),"")),"")&gt;=0,IF(BC32&lt;&gt;"",IF(BB32&lt;&gt;"",CEILING(((BB32-BC32)/BB32)*100,1),IF(AND(O32&lt;&gt;"",O32&gt;0),CEILING((((O32-BC32)/O32)*100),1),"")),""), "Ошибка: цена до скидки должна быть больше текущей.")</f>
      </c>
      <c r="BE32" s="13" t="s"/>
      <c r="BF32" s="13" t="s"/>
      <c r="BG32" s="13" t="s"/>
      <c r="BH32" s="13" t="s"/>
      <c r="BI32" s="13" t="s"/>
      <c r="BJ32" s="13" t="s"/>
      <c r="BK32" s="13" t="s"/>
    </row>
    <row r="33" ht="20" customHeight="true">
      <c r="A33" s="13" t="s">
        <v>228</v>
      </c>
      <c r="B33" s="13">
        <v>910330035</v>
      </c>
      <c r="C33" s="13" t="s">
        <v>128</v>
      </c>
      <c r="D33" s="13" t="s">
        <v>129</v>
      </c>
      <c r="E33" s="13" t="s">
        <v>130</v>
      </c>
      <c r="F33" s="13">
        <v>670</v>
      </c>
      <c r="G33" s="13">
        <v>0</v>
      </c>
      <c r="H33" s="13">
        <v>2.912</v>
      </c>
      <c r="I33" s="13">
        <v>0.6</v>
      </c>
      <c r="J33" s="13" t="s">
        <v>229</v>
      </c>
      <c r="K33" s="13">
        <v>8032</v>
      </c>
      <c r="L33" s="13">
        <v>2255</v>
      </c>
      <c r="M33" s="13">
        <v>0.35</v>
      </c>
      <c r="N33" s="13">
        <v>8</v>
      </c>
      <c r="O33" s="13">
        <v>1366</v>
      </c>
      <c r="P33" s="13">
        <v>1004</v>
      </c>
      <c r="Q33" s="13">
        <v>27</v>
      </c>
      <c r="R33" s="13">
        <v>362</v>
      </c>
      <c r="S33" s="13">
        <v>1004</v>
      </c>
      <c r="T33" s="13">
        <v>48</v>
      </c>
      <c r="U33" s="13">
        <v>651</v>
      </c>
      <c r="V33" s="13" t="s">
        <v>132</v>
      </c>
      <c r="W33" s="13">
        <v>502</v>
      </c>
      <c r="X33" s="13" t="s">
        <v>133</v>
      </c>
      <c r="Y33" s="13" t="s">
        <v>134</v>
      </c>
      <c r="Z33" s="13" t="s"/>
      <c r="AA33" s="13" t="s">
        <v>230</v>
      </c>
      <c r="AB33" s="13" t="s">
        <v>154</v>
      </c>
      <c r="AC33" s="13" t="s">
        <v>155</v>
      </c>
      <c r="AD33" s="13" t="s">
        <v>138</v>
      </c>
      <c r="AE33" s="13" t="s">
        <v>138</v>
      </c>
      <c r="AF33" s="13">
        <v>244.1</v>
      </c>
      <c r="AG33" s="13">
        <v>520</v>
      </c>
      <c r="AH33" s="13">
        <v>520</v>
      </c>
      <c r="AI33" s="13" t="s">
        <v>231</v>
      </c>
      <c r="AJ33" s="13" t="s">
        <v>231</v>
      </c>
      <c r="AK33" s="13" t="s">
        <v>140</v>
      </c>
      <c r="AL33" s="13">
        <v>1.63</v>
      </c>
      <c r="AM33" s="13">
        <v>1.21</v>
      </c>
      <c r="AN33" s="13">
        <v>1.21</v>
      </c>
      <c r="AO33" s="13">
        <v>10.04</v>
      </c>
      <c r="AP33" s="13">
        <v>38</v>
      </c>
      <c r="AQ33" s="13">
        <v>74</v>
      </c>
      <c r="AR33" s="13">
        <v>356.48</v>
      </c>
      <c r="AS33" s="13">
        <v>25</v>
      </c>
      <c r="AT33" s="13">
        <v>0</v>
      </c>
      <c r="AU33" s="13">
        <v>47</v>
      </c>
      <c r="AV33" s="13">
        <v>10</v>
      </c>
      <c r="AW33" s="13">
        <v>30</v>
      </c>
      <c r="AX33" s="13">
        <v>0</v>
      </c>
      <c r="AY33" s="13">
        <v>74</v>
      </c>
      <c r="AZ33" s="13">
        <v>236</v>
      </c>
      <c r="BA33" s="13">
        <v>25</v>
      </c>
      <c r="BB33" s="13" t="s"/>
      <c r="BC33" s="13" t="s"/>
      <c r="BD33" s="1">
        <f>=IF(IF(BC33&lt;&gt;"",IF(BB33&lt;&gt;"",CEILING(((BB33-BC33)/BB33)*100,1),IF(AND(O33&lt;&gt;"",O33&gt;0),CEILING((((O33-BC33)/O33)*100),1),"")),"")&gt;=0,IF(BC33&lt;&gt;"",IF(BB33&lt;&gt;"",CEILING(((BB33-BC33)/BB33)*100,1),IF(AND(O33&lt;&gt;"",O33&gt;0),CEILING((((O33-BC33)/O33)*100),1),"")),""), "Ошибка: цена до скидки должна быть больше текущей.")</f>
      </c>
      <c r="BE33" s="13" t="s"/>
      <c r="BF33" s="13" t="s"/>
      <c r="BG33" s="13" t="s"/>
      <c r="BH33" s="13" t="s"/>
      <c r="BI33" s="13" t="s"/>
      <c r="BJ33" s="13" t="s"/>
      <c r="BK33" s="13" t="s"/>
    </row>
    <row r="34" ht="20" customHeight="true">
      <c r="A34" s="13" t="s">
        <v>232</v>
      </c>
      <c r="B34" s="13">
        <v>910329707</v>
      </c>
      <c r="C34" s="13" t="s">
        <v>128</v>
      </c>
      <c r="D34" s="13" t="s">
        <v>129</v>
      </c>
      <c r="E34" s="13" t="s">
        <v>130</v>
      </c>
      <c r="F34" s="13">
        <v>598</v>
      </c>
      <c r="G34" s="13">
        <v>0</v>
      </c>
      <c r="H34" s="13">
        <v>1.782</v>
      </c>
      <c r="I34" s="13">
        <v>0.4</v>
      </c>
      <c r="J34" s="13" t="s">
        <v>233</v>
      </c>
      <c r="K34" s="13">
        <v>8032</v>
      </c>
      <c r="L34" s="13">
        <v>1555</v>
      </c>
      <c r="M34" s="13">
        <v>0.51</v>
      </c>
      <c r="N34" s="13">
        <v>8</v>
      </c>
      <c r="O34" s="13">
        <v>1366</v>
      </c>
      <c r="P34" s="13">
        <v>1004</v>
      </c>
      <c r="Q34" s="13">
        <v>27</v>
      </c>
      <c r="R34" s="13">
        <v>362</v>
      </c>
      <c r="S34" s="13">
        <v>1004</v>
      </c>
      <c r="T34" s="13">
        <v>48</v>
      </c>
      <c r="U34" s="13">
        <v>655</v>
      </c>
      <c r="V34" s="13" t="s">
        <v>132</v>
      </c>
      <c r="W34" s="13">
        <v>502</v>
      </c>
      <c r="X34" s="13" t="s">
        <v>133</v>
      </c>
      <c r="Y34" s="13" t="s">
        <v>134</v>
      </c>
      <c r="Z34" s="13" t="s"/>
      <c r="AA34" s="13" t="s">
        <v>234</v>
      </c>
      <c r="AB34" s="13" t="s">
        <v>172</v>
      </c>
      <c r="AC34" s="13" t="s">
        <v>173</v>
      </c>
      <c r="AD34" s="13" t="s">
        <v>138</v>
      </c>
      <c r="AE34" s="13" t="s">
        <v>138</v>
      </c>
      <c r="AF34" s="13">
        <v>0</v>
      </c>
      <c r="AG34" s="13">
        <v>520</v>
      </c>
      <c r="AH34" s="13">
        <v>520</v>
      </c>
      <c r="AI34" s="13" t="s">
        <v>235</v>
      </c>
      <c r="AJ34" s="13" t="s">
        <v>235</v>
      </c>
      <c r="AK34" s="13" t="s">
        <v>140</v>
      </c>
      <c r="AL34" s="13">
        <v>0</v>
      </c>
      <c r="AM34" s="13">
        <v>1.2</v>
      </c>
      <c r="AN34" s="13">
        <v>1.2</v>
      </c>
      <c r="AO34" s="13">
        <v>10.04</v>
      </c>
      <c r="AP34" s="13">
        <v>38</v>
      </c>
      <c r="AQ34" s="13">
        <v>74</v>
      </c>
      <c r="AR34" s="13">
        <v>338.48</v>
      </c>
      <c r="AS34" s="13">
        <v>25</v>
      </c>
      <c r="AT34" s="13">
        <v>0</v>
      </c>
      <c r="AU34" s="13">
        <v>47</v>
      </c>
      <c r="AV34" s="13">
        <v>10</v>
      </c>
      <c r="AW34" s="13">
        <v>30</v>
      </c>
      <c r="AX34" s="13">
        <v>0</v>
      </c>
      <c r="AY34" s="13">
        <v>74</v>
      </c>
      <c r="AZ34" s="13">
        <v>218</v>
      </c>
      <c r="BA34" s="13">
        <v>25</v>
      </c>
      <c r="BB34" s="13" t="s"/>
      <c r="BC34" s="13" t="s"/>
      <c r="BD34" s="1">
        <f>=IF(IF(BC34&lt;&gt;"",IF(BB34&lt;&gt;"",CEILING(((BB34-BC34)/BB34)*100,1),IF(AND(O34&lt;&gt;"",O34&gt;0),CEILING((((O34-BC34)/O34)*100),1),"")),"")&gt;=0,IF(BC34&lt;&gt;"",IF(BB34&lt;&gt;"",CEILING(((BB34-BC34)/BB34)*100,1),IF(AND(O34&lt;&gt;"",O34&gt;0),CEILING((((O34-BC34)/O34)*100),1),"")),""), "Ошибка: цена до скидки должна быть больше текущей.")</f>
      </c>
      <c r="BE34" s="13" t="s"/>
      <c r="BF34" s="13" t="s"/>
      <c r="BG34" s="13" t="s"/>
      <c r="BH34" s="13" t="s"/>
      <c r="BI34" s="13" t="s"/>
      <c r="BJ34" s="13" t="s"/>
      <c r="BK34" s="13" t="s"/>
    </row>
    <row r="35" ht="20" customHeight="true">
      <c r="A35" s="13" t="s">
        <v>236</v>
      </c>
      <c r="B35" s="13">
        <v>910330238</v>
      </c>
      <c r="C35" s="13" t="s">
        <v>128</v>
      </c>
      <c r="D35" s="13" t="s">
        <v>129</v>
      </c>
      <c r="E35" s="13" t="s">
        <v>130</v>
      </c>
      <c r="F35" s="13">
        <v>602</v>
      </c>
      <c r="G35" s="13">
        <v>0</v>
      </c>
      <c r="H35" s="13">
        <v>2.912</v>
      </c>
      <c r="I35" s="13">
        <v>0.6</v>
      </c>
      <c r="J35" s="13" t="s">
        <v>237</v>
      </c>
      <c r="K35" s="13">
        <v>2008</v>
      </c>
      <c r="L35" s="13">
        <v>1945</v>
      </c>
      <c r="M35" s="13">
        <v>0.1</v>
      </c>
      <c r="N35" s="13">
        <v>2</v>
      </c>
      <c r="O35" s="13">
        <v>1366</v>
      </c>
      <c r="P35" s="13">
        <v>1004</v>
      </c>
      <c r="Q35" s="13">
        <v>27</v>
      </c>
      <c r="R35" s="13">
        <v>362</v>
      </c>
      <c r="S35" s="13">
        <v>1004</v>
      </c>
      <c r="T35" s="13">
        <v>48</v>
      </c>
      <c r="U35" s="13">
        <v>651</v>
      </c>
      <c r="V35" s="13" t="s">
        <v>132</v>
      </c>
      <c r="W35" s="13">
        <v>502</v>
      </c>
      <c r="X35" s="13" t="s">
        <v>133</v>
      </c>
      <c r="Y35" s="13" t="s">
        <v>134</v>
      </c>
      <c r="Z35" s="13" t="s"/>
      <c r="AA35" s="13" t="s">
        <v>213</v>
      </c>
      <c r="AB35" s="13" t="s">
        <v>136</v>
      </c>
      <c r="AC35" s="13" t="s">
        <v>137</v>
      </c>
      <c r="AD35" s="13" t="s">
        <v>138</v>
      </c>
      <c r="AE35" s="13" t="s">
        <v>138</v>
      </c>
      <c r="AF35" s="13">
        <v>0</v>
      </c>
      <c r="AG35" s="13">
        <v>520</v>
      </c>
      <c r="AH35" s="13">
        <v>520</v>
      </c>
      <c r="AI35" s="13" t="s">
        <v>231</v>
      </c>
      <c r="AJ35" s="13" t="s">
        <v>231</v>
      </c>
      <c r="AK35" s="13" t="s">
        <v>140</v>
      </c>
      <c r="AL35" s="13">
        <v>0</v>
      </c>
      <c r="AM35" s="13">
        <v>1.21</v>
      </c>
      <c r="AN35" s="13">
        <v>1.21</v>
      </c>
      <c r="AO35" s="13">
        <v>10.04</v>
      </c>
      <c r="AP35" s="13">
        <v>38</v>
      </c>
      <c r="AQ35" s="13">
        <v>74</v>
      </c>
      <c r="AR35" s="13">
        <v>356.48</v>
      </c>
      <c r="AS35" s="13">
        <v>25</v>
      </c>
      <c r="AT35" s="13">
        <v>0</v>
      </c>
      <c r="AU35" s="13">
        <v>47</v>
      </c>
      <c r="AV35" s="13">
        <v>10</v>
      </c>
      <c r="AW35" s="13">
        <v>30</v>
      </c>
      <c r="AX35" s="13">
        <v>0</v>
      </c>
      <c r="AY35" s="13">
        <v>74</v>
      </c>
      <c r="AZ35" s="13">
        <v>236</v>
      </c>
      <c r="BA35" s="13">
        <v>25</v>
      </c>
      <c r="BB35" s="13" t="s"/>
      <c r="BC35" s="13" t="s"/>
      <c r="BD35" s="1">
        <f>=IF(IF(BC35&lt;&gt;"",IF(BB35&lt;&gt;"",CEILING(((BB35-BC35)/BB35)*100,1),IF(AND(O35&lt;&gt;"",O35&gt;0),CEILING((((O35-BC35)/O35)*100),1),"")),"")&gt;=0,IF(BC35&lt;&gt;"",IF(BB35&lt;&gt;"",CEILING(((BB35-BC35)/BB35)*100,1),IF(AND(O35&lt;&gt;"",O35&gt;0),CEILING((((O35-BC35)/O35)*100),1),"")),""), "Ошибка: цена до скидки должна быть больше текущей.")</f>
      </c>
      <c r="BE35" s="13" t="s"/>
      <c r="BF35" s="13" t="s"/>
      <c r="BG35" s="13" t="s"/>
      <c r="BH35" s="13" t="s"/>
      <c r="BI35" s="13" t="s"/>
      <c r="BJ35" s="13" t="s"/>
      <c r="BK35" s="13" t="s"/>
    </row>
    <row r="36" ht="20" customHeight="true">
      <c r="A36" s="13" t="s">
        <v>238</v>
      </c>
      <c r="B36" s="13">
        <v>910327922</v>
      </c>
      <c r="C36" s="13" t="s">
        <v>128</v>
      </c>
      <c r="D36" s="13" t="s">
        <v>129</v>
      </c>
      <c r="E36" s="13" t="s">
        <v>130</v>
      </c>
      <c r="F36" s="13">
        <v>282</v>
      </c>
      <c r="G36" s="13">
        <v>0</v>
      </c>
      <c r="H36" s="13">
        <v>2.912</v>
      </c>
      <c r="I36" s="13">
        <v>0.6</v>
      </c>
      <c r="J36" s="13" t="s">
        <v>239</v>
      </c>
      <c r="K36" s="13">
        <v>3012</v>
      </c>
      <c r="L36" s="13">
        <v>1498</v>
      </c>
      <c r="M36" s="13">
        <v>0.2</v>
      </c>
      <c r="N36" s="13">
        <v>3</v>
      </c>
      <c r="O36" s="13">
        <v>1366</v>
      </c>
      <c r="P36" s="13">
        <v>1004</v>
      </c>
      <c r="Q36" s="13">
        <v>27</v>
      </c>
      <c r="R36" s="13">
        <v>362</v>
      </c>
      <c r="S36" s="13">
        <v>1004</v>
      </c>
      <c r="T36" s="13">
        <v>48</v>
      </c>
      <c r="U36" s="13">
        <v>651</v>
      </c>
      <c r="V36" s="13" t="s">
        <v>132</v>
      </c>
      <c r="W36" s="13">
        <v>502</v>
      </c>
      <c r="X36" s="13" t="s">
        <v>133</v>
      </c>
      <c r="Y36" s="13" t="s">
        <v>134</v>
      </c>
      <c r="Z36" s="13" t="s"/>
      <c r="AA36" s="13" t="s">
        <v>210</v>
      </c>
      <c r="AB36" s="13" t="s">
        <v>191</v>
      </c>
      <c r="AC36" s="13" t="s">
        <v>177</v>
      </c>
      <c r="AD36" s="13" t="s">
        <v>138</v>
      </c>
      <c r="AE36" s="13" t="s">
        <v>138</v>
      </c>
      <c r="AF36" s="13">
        <v>0</v>
      </c>
      <c r="AG36" s="13">
        <v>520</v>
      </c>
      <c r="AH36" s="13">
        <v>520</v>
      </c>
      <c r="AI36" s="13" t="s">
        <v>222</v>
      </c>
      <c r="AJ36" s="13" t="s">
        <v>222</v>
      </c>
      <c r="AK36" s="13" t="s">
        <v>140</v>
      </c>
      <c r="AL36" s="13">
        <v>0</v>
      </c>
      <c r="AM36" s="13">
        <v>1.21</v>
      </c>
      <c r="AN36" s="13">
        <v>1.21</v>
      </c>
      <c r="AO36" s="13">
        <v>10.04</v>
      </c>
      <c r="AP36" s="13">
        <v>38</v>
      </c>
      <c r="AQ36" s="13">
        <v>74</v>
      </c>
      <c r="AR36" s="13">
        <v>356.48</v>
      </c>
      <c r="AS36" s="13">
        <v>25</v>
      </c>
      <c r="AT36" s="13">
        <v>0</v>
      </c>
      <c r="AU36" s="13">
        <v>47</v>
      </c>
      <c r="AV36" s="13">
        <v>10</v>
      </c>
      <c r="AW36" s="13">
        <v>30</v>
      </c>
      <c r="AX36" s="13">
        <v>0</v>
      </c>
      <c r="AY36" s="13">
        <v>74</v>
      </c>
      <c r="AZ36" s="13">
        <v>236</v>
      </c>
      <c r="BA36" s="13">
        <v>25</v>
      </c>
      <c r="BB36" s="13" t="s"/>
      <c r="BC36" s="13" t="s"/>
      <c r="BD36" s="1">
        <f>=IF(IF(BC36&lt;&gt;"",IF(BB36&lt;&gt;"",CEILING(((BB36-BC36)/BB36)*100,1),IF(AND(O36&lt;&gt;"",O36&gt;0),CEILING((((O36-BC36)/O36)*100),1),"")),"")&gt;=0,IF(BC36&lt;&gt;"",IF(BB36&lt;&gt;"",CEILING(((BB36-BC36)/BB36)*100,1),IF(AND(O36&lt;&gt;"",O36&gt;0),CEILING((((O36-BC36)/O36)*100),1),"")),""), "Ошибка: цена до скидки должна быть больше текущей.")</f>
      </c>
      <c r="BE36" s="13" t="s"/>
      <c r="BF36" s="13" t="s"/>
      <c r="BG36" s="13" t="s"/>
      <c r="BH36" s="13" t="s"/>
      <c r="BI36" s="13" t="s"/>
      <c r="BJ36" s="13" t="s"/>
      <c r="BK36" s="13" t="s"/>
    </row>
    <row r="37" ht="20" customHeight="true">
      <c r="A37" s="13" t="s">
        <v>240</v>
      </c>
      <c r="B37" s="13">
        <v>910329696</v>
      </c>
      <c r="C37" s="13" t="s">
        <v>128</v>
      </c>
      <c r="D37" s="13" t="s">
        <v>129</v>
      </c>
      <c r="E37" s="13" t="s">
        <v>130</v>
      </c>
      <c r="F37" s="13">
        <v>332</v>
      </c>
      <c r="G37" s="13">
        <v>0</v>
      </c>
      <c r="H37" s="13">
        <v>2.912</v>
      </c>
      <c r="I37" s="13">
        <v>0.6</v>
      </c>
      <c r="J37" s="13" t="s">
        <v>241</v>
      </c>
      <c r="K37" s="13">
        <v>5020</v>
      </c>
      <c r="L37" s="13">
        <v>1115</v>
      </c>
      <c r="M37" s="13">
        <v>0.45</v>
      </c>
      <c r="N37" s="13">
        <v>5</v>
      </c>
      <c r="O37" s="13">
        <v>1366</v>
      </c>
      <c r="P37" s="13">
        <v>1004</v>
      </c>
      <c r="Q37" s="13">
        <v>27</v>
      </c>
      <c r="R37" s="13">
        <v>362</v>
      </c>
      <c r="S37" s="13">
        <v>1004</v>
      </c>
      <c r="T37" s="13">
        <v>48</v>
      </c>
      <c r="U37" s="13">
        <v>643</v>
      </c>
      <c r="V37" s="13" t="s">
        <v>132</v>
      </c>
      <c r="W37" s="13">
        <v>502</v>
      </c>
      <c r="X37" s="13" t="s">
        <v>133</v>
      </c>
      <c r="Y37" s="13" t="s">
        <v>134</v>
      </c>
      <c r="Z37" s="13" t="s"/>
      <c r="AA37" s="13" t="s">
        <v>242</v>
      </c>
      <c r="AB37" s="13" t="s">
        <v>136</v>
      </c>
      <c r="AC37" s="13" t="s">
        <v>137</v>
      </c>
      <c r="AD37" s="13" t="s">
        <v>138</v>
      </c>
      <c r="AE37" s="13" t="s">
        <v>138</v>
      </c>
      <c r="AF37" s="13">
        <v>0</v>
      </c>
      <c r="AG37" s="13">
        <v>520</v>
      </c>
      <c r="AH37" s="13">
        <v>520</v>
      </c>
      <c r="AI37" s="13" t="s">
        <v>227</v>
      </c>
      <c r="AJ37" s="13" t="s">
        <v>227</v>
      </c>
      <c r="AK37" s="13" t="s">
        <v>140</v>
      </c>
      <c r="AL37" s="13">
        <v>0</v>
      </c>
      <c r="AM37" s="13">
        <v>1.21</v>
      </c>
      <c r="AN37" s="13">
        <v>1.21</v>
      </c>
      <c r="AO37" s="13">
        <v>10.04</v>
      </c>
      <c r="AP37" s="13">
        <v>38</v>
      </c>
      <c r="AQ37" s="13">
        <v>74</v>
      </c>
      <c r="AR37" s="13">
        <v>356.48</v>
      </c>
      <c r="AS37" s="13">
        <v>25</v>
      </c>
      <c r="AT37" s="13">
        <v>0</v>
      </c>
      <c r="AU37" s="13">
        <v>47</v>
      </c>
      <c r="AV37" s="13">
        <v>10</v>
      </c>
      <c r="AW37" s="13">
        <v>30</v>
      </c>
      <c r="AX37" s="13">
        <v>0</v>
      </c>
      <c r="AY37" s="13">
        <v>74</v>
      </c>
      <c r="AZ37" s="13">
        <v>236</v>
      </c>
      <c r="BA37" s="13">
        <v>25</v>
      </c>
      <c r="BB37" s="13" t="s"/>
      <c r="BC37" s="13" t="s"/>
      <c r="BD37" s="1">
        <f>=IF(IF(BC37&lt;&gt;"",IF(BB37&lt;&gt;"",CEILING(((BB37-BC37)/BB37)*100,1),IF(AND(O37&lt;&gt;"",O37&gt;0),CEILING((((O37-BC37)/O37)*100),1),"")),"")&gt;=0,IF(BC37&lt;&gt;"",IF(BB37&lt;&gt;"",CEILING(((BB37-BC37)/BB37)*100,1),IF(AND(O37&lt;&gt;"",O37&gt;0),CEILING((((O37-BC37)/O37)*100),1),"")),""), "Ошибка: цена до скидки должна быть больше текущей.")</f>
      </c>
      <c r="BE37" s="13" t="s"/>
      <c r="BF37" s="13" t="s"/>
      <c r="BG37" s="13" t="s"/>
      <c r="BH37" s="13" t="s"/>
      <c r="BI37" s="13" t="s"/>
      <c r="BJ37" s="13" t="s"/>
      <c r="BK37" s="13" t="s"/>
    </row>
    <row r="38" ht="20" customHeight="true">
      <c r="A38" s="13" t="s">
        <v>243</v>
      </c>
      <c r="B38" s="13">
        <v>910329150</v>
      </c>
      <c r="C38" s="13" t="s">
        <v>128</v>
      </c>
      <c r="D38" s="13" t="s">
        <v>129</v>
      </c>
      <c r="E38" s="13" t="s">
        <v>130</v>
      </c>
      <c r="F38" s="13">
        <v>615</v>
      </c>
      <c r="G38" s="13">
        <v>0</v>
      </c>
      <c r="H38" s="13">
        <v>1.782</v>
      </c>
      <c r="I38" s="13">
        <v>0.4</v>
      </c>
      <c r="J38" s="13" t="s">
        <v>244</v>
      </c>
      <c r="K38" s="13">
        <v>16064</v>
      </c>
      <c r="L38" s="13">
        <v>3390</v>
      </c>
      <c r="M38" s="13">
        <v>0.47</v>
      </c>
      <c r="N38" s="13">
        <v>16</v>
      </c>
      <c r="O38" s="13">
        <v>1366</v>
      </c>
      <c r="P38" s="13">
        <v>1004</v>
      </c>
      <c r="Q38" s="13">
        <v>27</v>
      </c>
      <c r="R38" s="13">
        <v>362</v>
      </c>
      <c r="S38" s="13">
        <v>1004</v>
      </c>
      <c r="T38" s="13">
        <v>48</v>
      </c>
      <c r="U38" s="13">
        <v>655</v>
      </c>
      <c r="V38" s="13" t="s">
        <v>132</v>
      </c>
      <c r="W38" s="13">
        <v>502</v>
      </c>
      <c r="X38" s="13" t="s">
        <v>133</v>
      </c>
      <c r="Y38" s="13" t="s">
        <v>134</v>
      </c>
      <c r="Z38" s="13" t="s"/>
      <c r="AA38" s="13" t="s">
        <v>143</v>
      </c>
      <c r="AB38" s="13" t="s">
        <v>136</v>
      </c>
      <c r="AC38" s="13" t="s">
        <v>137</v>
      </c>
      <c r="AD38" s="13" t="s">
        <v>138</v>
      </c>
      <c r="AE38" s="13" t="s">
        <v>138</v>
      </c>
      <c r="AF38" s="13">
        <v>0</v>
      </c>
      <c r="AG38" s="13">
        <v>520</v>
      </c>
      <c r="AH38" s="13">
        <v>520</v>
      </c>
      <c r="AI38" s="13" t="s">
        <v>245</v>
      </c>
      <c r="AJ38" s="13" t="s">
        <v>245</v>
      </c>
      <c r="AK38" s="13" t="s">
        <v>140</v>
      </c>
      <c r="AL38" s="13">
        <v>0</v>
      </c>
      <c r="AM38" s="13">
        <v>1.2</v>
      </c>
      <c r="AN38" s="13">
        <v>1.2</v>
      </c>
      <c r="AO38" s="13">
        <v>10.04</v>
      </c>
      <c r="AP38" s="13">
        <v>38</v>
      </c>
      <c r="AQ38" s="13">
        <v>74</v>
      </c>
      <c r="AR38" s="13">
        <v>338.48</v>
      </c>
      <c r="AS38" s="13">
        <v>25</v>
      </c>
      <c r="AT38" s="13">
        <v>0</v>
      </c>
      <c r="AU38" s="13">
        <v>47</v>
      </c>
      <c r="AV38" s="13">
        <v>10</v>
      </c>
      <c r="AW38" s="13">
        <v>30</v>
      </c>
      <c r="AX38" s="13">
        <v>0</v>
      </c>
      <c r="AY38" s="13">
        <v>74</v>
      </c>
      <c r="AZ38" s="13">
        <v>218</v>
      </c>
      <c r="BA38" s="13">
        <v>25</v>
      </c>
      <c r="BB38" s="13" t="s"/>
      <c r="BC38" s="13" t="s"/>
      <c r="BD38" s="1">
        <f>=IF(IF(BC38&lt;&gt;"",IF(BB38&lt;&gt;"",CEILING(((BB38-BC38)/BB38)*100,1),IF(AND(O38&lt;&gt;"",O38&gt;0),CEILING((((O38-BC38)/O38)*100),1),"")),"")&gt;=0,IF(BC38&lt;&gt;"",IF(BB38&lt;&gt;"",CEILING(((BB38-BC38)/BB38)*100,1),IF(AND(O38&lt;&gt;"",O38&gt;0),CEILING((((O38-BC38)/O38)*100),1),"")),""), "Ошибка: цена до скидки должна быть больше текущей.")</f>
      </c>
      <c r="BE38" s="13" t="s"/>
      <c r="BF38" s="13" t="s"/>
      <c r="BG38" s="13" t="s"/>
      <c r="BH38" s="13" t="s"/>
      <c r="BI38" s="13" t="s"/>
      <c r="BJ38" s="13" t="s"/>
      <c r="BK38" s="13" t="s"/>
    </row>
    <row r="39" ht="20" customHeight="true">
      <c r="A39" s="13" t="s">
        <v>246</v>
      </c>
      <c r="B39" s="13">
        <v>910328102</v>
      </c>
      <c r="C39" s="13" t="s">
        <v>128</v>
      </c>
      <c r="D39" s="13" t="s">
        <v>129</v>
      </c>
      <c r="E39" s="13" t="s">
        <v>130</v>
      </c>
      <c r="F39" s="13">
        <v>572</v>
      </c>
      <c r="G39" s="13">
        <v>0</v>
      </c>
      <c r="H39" s="13">
        <v>2.912</v>
      </c>
      <c r="I39" s="13">
        <v>0.6</v>
      </c>
      <c r="J39" s="13" t="s">
        <v>247</v>
      </c>
      <c r="K39" s="13">
        <v>4016</v>
      </c>
      <c r="L39" s="13">
        <v>1900</v>
      </c>
      <c r="M39" s="13">
        <v>0.21</v>
      </c>
      <c r="N39" s="13">
        <v>4</v>
      </c>
      <c r="O39" s="13">
        <v>1366</v>
      </c>
      <c r="P39" s="13">
        <v>1004</v>
      </c>
      <c r="Q39" s="13">
        <v>27</v>
      </c>
      <c r="R39" s="13">
        <v>362</v>
      </c>
      <c r="S39" s="13">
        <v>1004</v>
      </c>
      <c r="T39" s="13">
        <v>48</v>
      </c>
      <c r="U39" s="13">
        <v>651</v>
      </c>
      <c r="V39" s="13" t="s">
        <v>132</v>
      </c>
      <c r="W39" s="13">
        <v>502</v>
      </c>
      <c r="X39" s="13" t="s">
        <v>133</v>
      </c>
      <c r="Y39" s="13" t="s">
        <v>134</v>
      </c>
      <c r="Z39" s="13" t="s"/>
      <c r="AA39" s="13" t="s">
        <v>218</v>
      </c>
      <c r="AB39" s="13" t="s">
        <v>172</v>
      </c>
      <c r="AC39" s="13" t="s">
        <v>173</v>
      </c>
      <c r="AD39" s="13" t="s">
        <v>138</v>
      </c>
      <c r="AE39" s="13" t="s">
        <v>138</v>
      </c>
      <c r="AF39" s="13">
        <v>0</v>
      </c>
      <c r="AG39" s="13">
        <v>520</v>
      </c>
      <c r="AH39" s="13">
        <v>520</v>
      </c>
      <c r="AI39" s="13" t="s">
        <v>235</v>
      </c>
      <c r="AJ39" s="13" t="s">
        <v>235</v>
      </c>
      <c r="AK39" s="13" t="s">
        <v>140</v>
      </c>
      <c r="AL39" s="13">
        <v>0</v>
      </c>
      <c r="AM39" s="13">
        <v>1.21</v>
      </c>
      <c r="AN39" s="13">
        <v>1.21</v>
      </c>
      <c r="AO39" s="13">
        <v>10.04</v>
      </c>
      <c r="AP39" s="13">
        <v>38</v>
      </c>
      <c r="AQ39" s="13">
        <v>74</v>
      </c>
      <c r="AR39" s="13">
        <v>356.48</v>
      </c>
      <c r="AS39" s="13">
        <v>25</v>
      </c>
      <c r="AT39" s="13">
        <v>0</v>
      </c>
      <c r="AU39" s="13">
        <v>47</v>
      </c>
      <c r="AV39" s="13">
        <v>10</v>
      </c>
      <c r="AW39" s="13">
        <v>30</v>
      </c>
      <c r="AX39" s="13">
        <v>0</v>
      </c>
      <c r="AY39" s="13">
        <v>74</v>
      </c>
      <c r="AZ39" s="13">
        <v>236</v>
      </c>
      <c r="BA39" s="13">
        <v>25</v>
      </c>
      <c r="BB39" s="13" t="s"/>
      <c r="BC39" s="13" t="s"/>
      <c r="BD39" s="1">
        <f>=IF(IF(BC39&lt;&gt;"",IF(BB39&lt;&gt;"",CEILING(((BB39-BC39)/BB39)*100,1),IF(AND(O39&lt;&gt;"",O39&gt;0),CEILING((((O39-BC39)/O39)*100),1),"")),"")&gt;=0,IF(BC39&lt;&gt;"",IF(BB39&lt;&gt;"",CEILING(((BB39-BC39)/BB39)*100,1),IF(AND(O39&lt;&gt;"",O39&gt;0),CEILING((((O39-BC39)/O39)*100),1),"")),""), "Ошибка: цена до скидки должна быть больше текущей.")</f>
      </c>
      <c r="BE39" s="13" t="s"/>
      <c r="BF39" s="13" t="s"/>
      <c r="BG39" s="13" t="s"/>
      <c r="BH39" s="13" t="s"/>
      <c r="BI39" s="13" t="s"/>
      <c r="BJ39" s="13" t="s"/>
      <c r="BK39" s="13" t="s"/>
    </row>
    <row r="40" ht="20" customHeight="true">
      <c r="A40" s="13" t="s">
        <v>248</v>
      </c>
      <c r="B40" s="13">
        <v>910328525</v>
      </c>
      <c r="C40" s="13" t="s">
        <v>128</v>
      </c>
      <c r="D40" s="13" t="s">
        <v>129</v>
      </c>
      <c r="E40" s="13" t="s">
        <v>130</v>
      </c>
      <c r="F40" s="13">
        <v>412</v>
      </c>
      <c r="G40" s="13">
        <v>0</v>
      </c>
      <c r="H40" s="13">
        <v>2.912</v>
      </c>
      <c r="I40" s="13">
        <v>0.6</v>
      </c>
      <c r="J40" s="13" t="s">
        <v>249</v>
      </c>
      <c r="K40" s="13">
        <v>11044</v>
      </c>
      <c r="L40" s="13">
        <v>1942</v>
      </c>
      <c r="M40" s="13">
        <v>0.57</v>
      </c>
      <c r="N40" s="13">
        <v>11</v>
      </c>
      <c r="O40" s="13">
        <v>1366</v>
      </c>
      <c r="P40" s="13">
        <v>1004</v>
      </c>
      <c r="Q40" s="13">
        <v>27</v>
      </c>
      <c r="R40" s="13">
        <v>362</v>
      </c>
      <c r="S40" s="13">
        <v>1004</v>
      </c>
      <c r="T40" s="13">
        <v>48</v>
      </c>
      <c r="U40" s="13">
        <v>643</v>
      </c>
      <c r="V40" s="13" t="s">
        <v>132</v>
      </c>
      <c r="W40" s="13">
        <v>502</v>
      </c>
      <c r="X40" s="13" t="s">
        <v>133</v>
      </c>
      <c r="Y40" s="13" t="s">
        <v>134</v>
      </c>
      <c r="Z40" s="13" t="s"/>
      <c r="AA40" s="13" t="s">
        <v>230</v>
      </c>
      <c r="AB40" s="13" t="s">
        <v>154</v>
      </c>
      <c r="AC40" s="13" t="s">
        <v>155</v>
      </c>
      <c r="AD40" s="13" t="s">
        <v>138</v>
      </c>
      <c r="AE40" s="13" t="s">
        <v>138</v>
      </c>
      <c r="AF40" s="13">
        <v>0</v>
      </c>
      <c r="AG40" s="13">
        <v>520</v>
      </c>
      <c r="AH40" s="13">
        <v>520</v>
      </c>
      <c r="AI40" s="13" t="s">
        <v>245</v>
      </c>
      <c r="AJ40" s="13" t="s">
        <v>245</v>
      </c>
      <c r="AK40" s="13" t="s">
        <v>140</v>
      </c>
      <c r="AL40" s="13">
        <v>0</v>
      </c>
      <c r="AM40" s="13">
        <v>1.21</v>
      </c>
      <c r="AN40" s="13">
        <v>1.21</v>
      </c>
      <c r="AO40" s="13">
        <v>10.04</v>
      </c>
      <c r="AP40" s="13">
        <v>38</v>
      </c>
      <c r="AQ40" s="13">
        <v>74</v>
      </c>
      <c r="AR40" s="13">
        <v>356.48</v>
      </c>
      <c r="AS40" s="13">
        <v>25</v>
      </c>
      <c r="AT40" s="13">
        <v>0</v>
      </c>
      <c r="AU40" s="13">
        <v>47</v>
      </c>
      <c r="AV40" s="13">
        <v>10</v>
      </c>
      <c r="AW40" s="13">
        <v>30</v>
      </c>
      <c r="AX40" s="13">
        <v>0</v>
      </c>
      <c r="AY40" s="13">
        <v>74</v>
      </c>
      <c r="AZ40" s="13">
        <v>236</v>
      </c>
      <c r="BA40" s="13">
        <v>25</v>
      </c>
      <c r="BB40" s="13" t="s"/>
      <c r="BC40" s="13" t="s"/>
      <c r="BD40" s="1">
        <f>=IF(IF(BC40&lt;&gt;"",IF(BB40&lt;&gt;"",CEILING(((BB40-BC40)/BB40)*100,1),IF(AND(O40&lt;&gt;"",O40&gt;0),CEILING((((O40-BC40)/O40)*100),1),"")),"")&gt;=0,IF(BC40&lt;&gt;"",IF(BB40&lt;&gt;"",CEILING(((BB40-BC40)/BB40)*100,1),IF(AND(O40&lt;&gt;"",O40&gt;0),CEILING((((O40-BC40)/O40)*100),1),"")),""), "Ошибка: цена до скидки должна быть больше текущей.")</f>
      </c>
      <c r="BE40" s="13" t="s"/>
      <c r="BF40" s="13" t="s"/>
      <c r="BG40" s="13" t="s"/>
      <c r="BH40" s="13" t="s"/>
      <c r="BI40" s="13" t="s"/>
      <c r="BJ40" s="13" t="s"/>
      <c r="BK40" s="13" t="s"/>
    </row>
    <row r="41" ht="20" customHeight="true">
      <c r="A41" s="13" t="s">
        <v>250</v>
      </c>
      <c r="B41" s="13">
        <v>910327568</v>
      </c>
      <c r="C41" s="13" t="s">
        <v>128</v>
      </c>
      <c r="D41" s="13" t="s">
        <v>129</v>
      </c>
      <c r="E41" s="13" t="s">
        <v>130</v>
      </c>
      <c r="F41" s="13">
        <v>380</v>
      </c>
      <c r="G41" s="13">
        <v>0</v>
      </c>
      <c r="H41" s="13">
        <v>2.912</v>
      </c>
      <c r="I41" s="13">
        <v>0.6</v>
      </c>
      <c r="J41" s="13" t="s">
        <v>251</v>
      </c>
      <c r="K41" s="13">
        <v>5020</v>
      </c>
      <c r="L41" s="13">
        <v>966</v>
      </c>
      <c r="M41" s="13">
        <v>0.52</v>
      </c>
      <c r="N41" s="13">
        <v>5</v>
      </c>
      <c r="O41" s="13">
        <v>1366</v>
      </c>
      <c r="P41" s="13">
        <v>1004</v>
      </c>
      <c r="Q41" s="13">
        <v>27</v>
      </c>
      <c r="R41" s="13">
        <v>362</v>
      </c>
      <c r="S41" s="13">
        <v>1004</v>
      </c>
      <c r="T41" s="13">
        <v>48</v>
      </c>
      <c r="U41" s="13">
        <v>651</v>
      </c>
      <c r="V41" s="13" t="s">
        <v>132</v>
      </c>
      <c r="W41" s="13">
        <v>502</v>
      </c>
      <c r="X41" s="13" t="s">
        <v>133</v>
      </c>
      <c r="Y41" s="13" t="s">
        <v>134</v>
      </c>
      <c r="Z41" s="13" t="s"/>
      <c r="AA41" s="13" t="s">
        <v>230</v>
      </c>
      <c r="AB41" s="13" t="s">
        <v>154</v>
      </c>
      <c r="AC41" s="13" t="s">
        <v>155</v>
      </c>
      <c r="AD41" s="13" t="s">
        <v>138</v>
      </c>
      <c r="AE41" s="13" t="s">
        <v>138</v>
      </c>
      <c r="AF41" s="13">
        <v>0</v>
      </c>
      <c r="AG41" s="13">
        <v>520</v>
      </c>
      <c r="AH41" s="13">
        <v>520</v>
      </c>
      <c r="AI41" s="13" t="s">
        <v>227</v>
      </c>
      <c r="AJ41" s="13" t="s">
        <v>227</v>
      </c>
      <c r="AK41" s="13" t="s">
        <v>140</v>
      </c>
      <c r="AL41" s="13">
        <v>0</v>
      </c>
      <c r="AM41" s="13">
        <v>1.21</v>
      </c>
      <c r="AN41" s="13">
        <v>1.21</v>
      </c>
      <c r="AO41" s="13">
        <v>10.04</v>
      </c>
      <c r="AP41" s="13">
        <v>38</v>
      </c>
      <c r="AQ41" s="13">
        <v>74</v>
      </c>
      <c r="AR41" s="13">
        <v>356.48</v>
      </c>
      <c r="AS41" s="13">
        <v>25</v>
      </c>
      <c r="AT41" s="13">
        <v>0</v>
      </c>
      <c r="AU41" s="13">
        <v>47</v>
      </c>
      <c r="AV41" s="13">
        <v>10</v>
      </c>
      <c r="AW41" s="13">
        <v>30</v>
      </c>
      <c r="AX41" s="13">
        <v>0</v>
      </c>
      <c r="AY41" s="13">
        <v>74</v>
      </c>
      <c r="AZ41" s="13">
        <v>236</v>
      </c>
      <c r="BA41" s="13">
        <v>25</v>
      </c>
      <c r="BB41" s="13" t="s"/>
      <c r="BC41" s="13" t="s"/>
      <c r="BD41" s="1">
        <f>=IF(IF(BC41&lt;&gt;"",IF(BB41&lt;&gt;"",CEILING(((BB41-BC41)/BB41)*100,1),IF(AND(O41&lt;&gt;"",O41&gt;0),CEILING((((O41-BC41)/O41)*100),1),"")),"")&gt;=0,IF(BC41&lt;&gt;"",IF(BB41&lt;&gt;"",CEILING(((BB41-BC41)/BB41)*100,1),IF(AND(O41&lt;&gt;"",O41&gt;0),CEILING((((O41-BC41)/O41)*100),1),"")),""), "Ошибка: цена до скидки должна быть больше текущей.")</f>
      </c>
      <c r="BE41" s="13" t="s"/>
      <c r="BF41" s="13" t="s"/>
      <c r="BG41" s="13" t="s"/>
      <c r="BH41" s="13" t="s"/>
      <c r="BI41" s="13" t="s"/>
      <c r="BJ41" s="13" t="s"/>
      <c r="BK41" s="13" t="s"/>
    </row>
    <row r="42" ht="20" customHeight="true">
      <c r="A42" s="13" t="s">
        <v>252</v>
      </c>
      <c r="B42" s="13">
        <v>910327607</v>
      </c>
      <c r="C42" s="13" t="s">
        <v>128</v>
      </c>
      <c r="D42" s="13" t="s">
        <v>129</v>
      </c>
      <c r="E42" s="13" t="s">
        <v>130</v>
      </c>
      <c r="F42" s="13">
        <v>698</v>
      </c>
      <c r="G42" s="13">
        <v>0</v>
      </c>
      <c r="H42" s="13">
        <v>2.912</v>
      </c>
      <c r="I42" s="13">
        <v>0.6</v>
      </c>
      <c r="J42" s="13" t="s">
        <v>253</v>
      </c>
      <c r="K42" s="13">
        <v>8032</v>
      </c>
      <c r="L42" s="13">
        <v>3129</v>
      </c>
      <c r="M42" s="13">
        <v>0.26</v>
      </c>
      <c r="N42" s="13">
        <v>8</v>
      </c>
      <c r="O42" s="13">
        <v>1366</v>
      </c>
      <c r="P42" s="13">
        <v>1004</v>
      </c>
      <c r="Q42" s="13">
        <v>27</v>
      </c>
      <c r="R42" s="13">
        <v>362</v>
      </c>
      <c r="S42" s="13">
        <v>1004</v>
      </c>
      <c r="T42" s="13">
        <v>48</v>
      </c>
      <c r="U42" s="13">
        <v>651</v>
      </c>
      <c r="V42" s="13" t="s">
        <v>132</v>
      </c>
      <c r="W42" s="13">
        <v>502</v>
      </c>
      <c r="X42" s="13" t="s">
        <v>133</v>
      </c>
      <c r="Y42" s="13" t="s">
        <v>134</v>
      </c>
      <c r="Z42" s="13" t="s"/>
      <c r="AA42" s="13" t="s">
        <v>135</v>
      </c>
      <c r="AB42" s="13" t="s">
        <v>136</v>
      </c>
      <c r="AC42" s="13" t="s">
        <v>137</v>
      </c>
      <c r="AD42" s="13" t="s">
        <v>138</v>
      </c>
      <c r="AE42" s="13" t="s">
        <v>138</v>
      </c>
      <c r="AF42" s="13">
        <v>0</v>
      </c>
      <c r="AG42" s="13">
        <v>520</v>
      </c>
      <c r="AH42" s="13">
        <v>520</v>
      </c>
      <c r="AI42" s="13" t="s">
        <v>245</v>
      </c>
      <c r="AJ42" s="13" t="s">
        <v>245</v>
      </c>
      <c r="AK42" s="13" t="s">
        <v>140</v>
      </c>
      <c r="AL42" s="13">
        <v>0</v>
      </c>
      <c r="AM42" s="13">
        <v>1.21</v>
      </c>
      <c r="AN42" s="13">
        <v>1.21</v>
      </c>
      <c r="AO42" s="13">
        <v>10.04</v>
      </c>
      <c r="AP42" s="13">
        <v>38</v>
      </c>
      <c r="AQ42" s="13">
        <v>74</v>
      </c>
      <c r="AR42" s="13">
        <v>356.48</v>
      </c>
      <c r="AS42" s="13">
        <v>25</v>
      </c>
      <c r="AT42" s="13">
        <v>0</v>
      </c>
      <c r="AU42" s="13">
        <v>47</v>
      </c>
      <c r="AV42" s="13">
        <v>10</v>
      </c>
      <c r="AW42" s="13">
        <v>30</v>
      </c>
      <c r="AX42" s="13">
        <v>0</v>
      </c>
      <c r="AY42" s="13">
        <v>74</v>
      </c>
      <c r="AZ42" s="13">
        <v>236</v>
      </c>
      <c r="BA42" s="13">
        <v>25</v>
      </c>
      <c r="BB42" s="13" t="s"/>
      <c r="BC42" s="13" t="s"/>
      <c r="BD42" s="1">
        <f>=IF(IF(BC42&lt;&gt;"",IF(BB42&lt;&gt;"",CEILING(((BB42-BC42)/BB42)*100,1),IF(AND(O42&lt;&gt;"",O42&gt;0),CEILING((((O42-BC42)/O42)*100),1),"")),"")&gt;=0,IF(BC42&lt;&gt;"",IF(BB42&lt;&gt;"",CEILING(((BB42-BC42)/BB42)*100,1),IF(AND(O42&lt;&gt;"",O42&gt;0),CEILING((((O42-BC42)/O42)*100),1),"")),""), "Ошибка: цена до скидки должна быть больше текущей.")</f>
      </c>
      <c r="BE42" s="13" t="s"/>
      <c r="BF42" s="13" t="s"/>
      <c r="BG42" s="13" t="s"/>
      <c r="BH42" s="13" t="s"/>
      <c r="BI42" s="13" t="s"/>
      <c r="BJ42" s="13" t="s"/>
      <c r="BK42" s="13" t="s"/>
    </row>
    <row r="43" ht="20" customHeight="true">
      <c r="A43" s="13" t="s">
        <v>254</v>
      </c>
      <c r="B43" s="13">
        <v>910327554</v>
      </c>
      <c r="C43" s="13" t="s">
        <v>128</v>
      </c>
      <c r="D43" s="13" t="s">
        <v>129</v>
      </c>
      <c r="E43" s="13" t="s">
        <v>130</v>
      </c>
      <c r="F43" s="13">
        <v>452</v>
      </c>
      <c r="G43" s="13">
        <v>0</v>
      </c>
      <c r="H43" s="13">
        <v>2.912</v>
      </c>
      <c r="I43" s="13">
        <v>0.6</v>
      </c>
      <c r="J43" s="13" t="s">
        <v>255</v>
      </c>
      <c r="K43" s="13">
        <v>2008</v>
      </c>
      <c r="L43" s="13">
        <v>1873</v>
      </c>
      <c r="M43" s="13">
        <v>0.11</v>
      </c>
      <c r="N43" s="13">
        <v>2</v>
      </c>
      <c r="O43" s="13">
        <v>1366</v>
      </c>
      <c r="P43" s="13">
        <v>1004</v>
      </c>
      <c r="Q43" s="13">
        <v>27</v>
      </c>
      <c r="R43" s="13">
        <v>362</v>
      </c>
      <c r="S43" s="13">
        <v>1004</v>
      </c>
      <c r="T43" s="13">
        <v>48</v>
      </c>
      <c r="U43" s="13">
        <v>651</v>
      </c>
      <c r="V43" s="13" t="s">
        <v>132</v>
      </c>
      <c r="W43" s="13">
        <v>502</v>
      </c>
      <c r="X43" s="13" t="s">
        <v>133</v>
      </c>
      <c r="Y43" s="13" t="s">
        <v>134</v>
      </c>
      <c r="Z43" s="13" t="s"/>
      <c r="AA43" s="13" t="s">
        <v>153</v>
      </c>
      <c r="AB43" s="13" t="s">
        <v>154</v>
      </c>
      <c r="AC43" s="13" t="s">
        <v>155</v>
      </c>
      <c r="AD43" s="13" t="s">
        <v>138</v>
      </c>
      <c r="AE43" s="13" t="s">
        <v>138</v>
      </c>
      <c r="AF43" s="13">
        <v>0</v>
      </c>
      <c r="AG43" s="13">
        <v>520</v>
      </c>
      <c r="AH43" s="13">
        <v>520</v>
      </c>
      <c r="AI43" s="13" t="s">
        <v>222</v>
      </c>
      <c r="AJ43" s="13" t="s">
        <v>222</v>
      </c>
      <c r="AK43" s="13" t="s">
        <v>140</v>
      </c>
      <c r="AL43" s="13">
        <v>0</v>
      </c>
      <c r="AM43" s="13">
        <v>1.21</v>
      </c>
      <c r="AN43" s="13">
        <v>1.21</v>
      </c>
      <c r="AO43" s="13">
        <v>10.04</v>
      </c>
      <c r="AP43" s="13">
        <v>38</v>
      </c>
      <c r="AQ43" s="13">
        <v>74</v>
      </c>
      <c r="AR43" s="13">
        <v>356.48</v>
      </c>
      <c r="AS43" s="13">
        <v>25</v>
      </c>
      <c r="AT43" s="13">
        <v>0</v>
      </c>
      <c r="AU43" s="13">
        <v>47</v>
      </c>
      <c r="AV43" s="13">
        <v>10</v>
      </c>
      <c r="AW43" s="13">
        <v>30</v>
      </c>
      <c r="AX43" s="13">
        <v>0</v>
      </c>
      <c r="AY43" s="13">
        <v>74</v>
      </c>
      <c r="AZ43" s="13">
        <v>236</v>
      </c>
      <c r="BA43" s="13">
        <v>25</v>
      </c>
      <c r="BB43" s="13" t="s"/>
      <c r="BC43" s="13" t="s"/>
      <c r="BD43" s="1">
        <f>=IF(IF(BC43&lt;&gt;"",IF(BB43&lt;&gt;"",CEILING(((BB43-BC43)/BB43)*100,1),IF(AND(O43&lt;&gt;"",O43&gt;0),CEILING((((O43-BC43)/O43)*100),1),"")),"")&gt;=0,IF(BC43&lt;&gt;"",IF(BB43&lt;&gt;"",CEILING(((BB43-BC43)/BB43)*100,1),IF(AND(O43&lt;&gt;"",O43&gt;0),CEILING((((O43-BC43)/O43)*100),1),"")),""), "Ошибка: цена до скидки должна быть больше текущей.")</f>
      </c>
      <c r="BE43" s="13" t="s"/>
      <c r="BF43" s="13" t="s"/>
      <c r="BG43" s="13" t="s"/>
      <c r="BH43" s="13" t="s"/>
      <c r="BI43" s="13" t="s"/>
      <c r="BJ43" s="13" t="s"/>
      <c r="BK43" s="13" t="s"/>
    </row>
    <row r="44" ht="20" customHeight="true">
      <c r="A44" s="13" t="s">
        <v>256</v>
      </c>
      <c r="B44" s="13">
        <v>910327227</v>
      </c>
      <c r="C44" s="13" t="s">
        <v>128</v>
      </c>
      <c r="D44" s="13" t="s">
        <v>129</v>
      </c>
      <c r="E44" s="13" t="s">
        <v>130</v>
      </c>
      <c r="F44" s="13">
        <v>506</v>
      </c>
      <c r="G44" s="13">
        <v>0</v>
      </c>
      <c r="H44" s="13">
        <v>3</v>
      </c>
      <c r="I44" s="13">
        <v>0.6</v>
      </c>
      <c r="J44" s="13" t="s">
        <v>257</v>
      </c>
      <c r="K44" s="13">
        <v>2008</v>
      </c>
      <c r="L44" s="13">
        <v>733</v>
      </c>
      <c r="M44" s="13">
        <v>0.27</v>
      </c>
      <c r="N44" s="13">
        <v>2</v>
      </c>
      <c r="O44" s="13">
        <v>1366</v>
      </c>
      <c r="P44" s="13">
        <v>1004</v>
      </c>
      <c r="Q44" s="13">
        <v>27</v>
      </c>
      <c r="R44" s="13">
        <v>362</v>
      </c>
      <c r="S44" s="13">
        <v>1004</v>
      </c>
      <c r="T44" s="13">
        <v>48</v>
      </c>
      <c r="U44" s="13">
        <v>646</v>
      </c>
      <c r="V44" s="13" t="s">
        <v>132</v>
      </c>
      <c r="W44" s="13">
        <v>502</v>
      </c>
      <c r="X44" s="13" t="s">
        <v>133</v>
      </c>
      <c r="Y44" s="13" t="s">
        <v>134</v>
      </c>
      <c r="Z44" s="13" t="s"/>
      <c r="AA44" s="13" t="s">
        <v>258</v>
      </c>
      <c r="AB44" s="13" t="s">
        <v>180</v>
      </c>
      <c r="AC44" s="13" t="s">
        <v>181</v>
      </c>
      <c r="AD44" s="13" t="s">
        <v>138</v>
      </c>
      <c r="AE44" s="13" t="s">
        <v>138</v>
      </c>
      <c r="AF44" s="13">
        <v>0</v>
      </c>
      <c r="AG44" s="13">
        <v>520</v>
      </c>
      <c r="AH44" s="13">
        <v>520</v>
      </c>
      <c r="AI44" s="13" t="s">
        <v>235</v>
      </c>
      <c r="AJ44" s="13" t="s">
        <v>235</v>
      </c>
      <c r="AK44" s="13" t="s">
        <v>140</v>
      </c>
      <c r="AL44" s="13">
        <v>0</v>
      </c>
      <c r="AM44" s="13">
        <v>1.21</v>
      </c>
      <c r="AN44" s="13">
        <v>1.21</v>
      </c>
      <c r="AO44" s="13">
        <v>10.04</v>
      </c>
      <c r="AP44" s="13">
        <v>38</v>
      </c>
      <c r="AQ44" s="13">
        <v>74</v>
      </c>
      <c r="AR44" s="13">
        <v>356.48</v>
      </c>
      <c r="AS44" s="13">
        <v>25</v>
      </c>
      <c r="AT44" s="13">
        <v>0</v>
      </c>
      <c r="AU44" s="13">
        <v>47</v>
      </c>
      <c r="AV44" s="13">
        <v>10</v>
      </c>
      <c r="AW44" s="13">
        <v>30</v>
      </c>
      <c r="AX44" s="13">
        <v>0</v>
      </c>
      <c r="AY44" s="13">
        <v>74</v>
      </c>
      <c r="AZ44" s="13">
        <v>236</v>
      </c>
      <c r="BA44" s="13">
        <v>25</v>
      </c>
      <c r="BB44" s="13" t="s"/>
      <c r="BC44" s="13" t="s"/>
      <c r="BD44" s="1">
        <f>=IF(IF(BC44&lt;&gt;"",IF(BB44&lt;&gt;"",CEILING(((BB44-BC44)/BB44)*100,1),IF(AND(O44&lt;&gt;"",O44&gt;0),CEILING((((O44-BC44)/O44)*100),1),"")),"")&gt;=0,IF(BC44&lt;&gt;"",IF(BB44&lt;&gt;"",CEILING(((BB44-BC44)/BB44)*100,1),IF(AND(O44&lt;&gt;"",O44&gt;0),CEILING((((O44-BC44)/O44)*100),1),"")),""), "Ошибка: цена до скидки должна быть больше текущей.")</f>
      </c>
      <c r="BE44" s="13" t="s"/>
      <c r="BF44" s="13" t="s"/>
      <c r="BG44" s="13" t="s"/>
      <c r="BH44" s="13" t="s"/>
      <c r="BI44" s="13" t="s"/>
      <c r="BJ44" s="13" t="s"/>
      <c r="BK44" s="13" t="s"/>
    </row>
    <row r="45" ht="20" customHeight="true">
      <c r="A45" s="13" t="s">
        <v>259</v>
      </c>
      <c r="B45" s="13">
        <v>910324662</v>
      </c>
      <c r="C45" s="13" t="s">
        <v>128</v>
      </c>
      <c r="D45" s="13" t="s">
        <v>129</v>
      </c>
      <c r="E45" s="13" t="s">
        <v>130</v>
      </c>
      <c r="F45" s="13">
        <v>876</v>
      </c>
      <c r="G45" s="13">
        <v>0</v>
      </c>
      <c r="H45" s="13">
        <v>2.17616</v>
      </c>
      <c r="I45" s="13">
        <v>0.4</v>
      </c>
      <c r="J45" s="13" t="s">
        <v>260</v>
      </c>
      <c r="K45" s="13">
        <v>13052</v>
      </c>
      <c r="L45" s="13">
        <v>3036</v>
      </c>
      <c r="M45" s="13">
        <v>0.43</v>
      </c>
      <c r="N45" s="13">
        <v>13</v>
      </c>
      <c r="O45" s="13">
        <v>1366</v>
      </c>
      <c r="P45" s="13">
        <v>1004</v>
      </c>
      <c r="Q45" s="13">
        <v>27</v>
      </c>
      <c r="R45" s="13">
        <v>362</v>
      </c>
      <c r="S45" s="13">
        <v>1004</v>
      </c>
      <c r="T45" s="13">
        <v>48</v>
      </c>
      <c r="U45" s="13">
        <v>651</v>
      </c>
      <c r="V45" s="13" t="s">
        <v>132</v>
      </c>
      <c r="W45" s="13">
        <v>502</v>
      </c>
      <c r="X45" s="13" t="s">
        <v>133</v>
      </c>
      <c r="Y45" s="13" t="s">
        <v>134</v>
      </c>
      <c r="Z45" s="13" t="s"/>
      <c r="AA45" s="13" t="s">
        <v>261</v>
      </c>
      <c r="AB45" s="13" t="s">
        <v>136</v>
      </c>
      <c r="AC45" s="13" t="s">
        <v>137</v>
      </c>
      <c r="AD45" s="13" t="s">
        <v>138</v>
      </c>
      <c r="AE45" s="13" t="s">
        <v>138</v>
      </c>
      <c r="AF45" s="13">
        <v>0</v>
      </c>
      <c r="AG45" s="13">
        <v>520</v>
      </c>
      <c r="AH45" s="13">
        <v>520</v>
      </c>
      <c r="AI45" s="13" t="s">
        <v>219</v>
      </c>
      <c r="AJ45" s="13" t="s">
        <v>219</v>
      </c>
      <c r="AK45" s="13" t="s">
        <v>140</v>
      </c>
      <c r="AL45" s="13">
        <v>0</v>
      </c>
      <c r="AM45" s="13">
        <v>1.21</v>
      </c>
      <c r="AN45" s="13">
        <v>1.21</v>
      </c>
      <c r="AO45" s="13">
        <v>10.04</v>
      </c>
      <c r="AP45" s="13">
        <v>38</v>
      </c>
      <c r="AQ45" s="13">
        <v>74</v>
      </c>
      <c r="AR45" s="13">
        <v>356.48</v>
      </c>
      <c r="AS45" s="13">
        <v>25</v>
      </c>
      <c r="AT45" s="13">
        <v>0</v>
      </c>
      <c r="AU45" s="13">
        <v>47</v>
      </c>
      <c r="AV45" s="13">
        <v>10</v>
      </c>
      <c r="AW45" s="13">
        <v>30</v>
      </c>
      <c r="AX45" s="13">
        <v>0</v>
      </c>
      <c r="AY45" s="13">
        <v>74</v>
      </c>
      <c r="AZ45" s="13">
        <v>236</v>
      </c>
      <c r="BA45" s="13">
        <v>25</v>
      </c>
      <c r="BB45" s="13" t="s"/>
      <c r="BC45" s="13" t="s"/>
      <c r="BD45" s="1">
        <f>=IF(IF(BC45&lt;&gt;"",IF(BB45&lt;&gt;"",CEILING(((BB45-BC45)/BB45)*100,1),IF(AND(O45&lt;&gt;"",O45&gt;0),CEILING((((O45-BC45)/O45)*100),1),"")),"")&gt;=0,IF(BC45&lt;&gt;"",IF(BB45&lt;&gt;"",CEILING(((BB45-BC45)/BB45)*100,1),IF(AND(O45&lt;&gt;"",O45&gt;0),CEILING((((O45-BC45)/O45)*100),1),"")),""), "Ошибка: цена до скидки должна быть больше текущей.")</f>
      </c>
      <c r="BE45" s="13" t="s"/>
      <c r="BF45" s="13" t="s"/>
      <c r="BG45" s="13" t="s"/>
      <c r="BH45" s="13" t="s"/>
      <c r="BI45" s="13" t="s"/>
      <c r="BJ45" s="13" t="s"/>
      <c r="BK45" s="13" t="s"/>
    </row>
    <row r="46" ht="20" customHeight="true">
      <c r="A46" s="13" t="s">
        <v>262</v>
      </c>
      <c r="B46" s="13">
        <v>990315626</v>
      </c>
      <c r="C46" s="13" t="s">
        <v>128</v>
      </c>
      <c r="D46" s="13" t="s">
        <v>129</v>
      </c>
      <c r="E46" s="13" t="s">
        <v>130</v>
      </c>
      <c r="F46" s="13">
        <v>729</v>
      </c>
      <c r="G46" s="13">
        <v>0</v>
      </c>
      <c r="H46" s="13">
        <v>2.125872</v>
      </c>
      <c r="I46" s="13">
        <v>0.4</v>
      </c>
      <c r="J46" s="13" t="s">
        <v>263</v>
      </c>
      <c r="K46" s="13">
        <v>11044</v>
      </c>
      <c r="L46" s="13">
        <v>2505</v>
      </c>
      <c r="M46" s="13">
        <v>0.44</v>
      </c>
      <c r="N46" s="13">
        <v>11</v>
      </c>
      <c r="O46" s="13">
        <v>1366</v>
      </c>
      <c r="P46" s="13">
        <v>1004</v>
      </c>
      <c r="Q46" s="13">
        <v>27</v>
      </c>
      <c r="R46" s="13">
        <v>362</v>
      </c>
      <c r="S46" s="13">
        <v>1004</v>
      </c>
      <c r="T46" s="13">
        <v>48</v>
      </c>
      <c r="U46" s="13">
        <v>651</v>
      </c>
      <c r="V46" s="13" t="s">
        <v>132</v>
      </c>
      <c r="W46" s="13">
        <v>502</v>
      </c>
      <c r="X46" s="13" t="s">
        <v>133</v>
      </c>
      <c r="Y46" s="13" t="s">
        <v>134</v>
      </c>
      <c r="Z46" s="13" t="s"/>
      <c r="AA46" s="13" t="s">
        <v>264</v>
      </c>
      <c r="AB46" s="13" t="s">
        <v>154</v>
      </c>
      <c r="AC46" s="13" t="s">
        <v>155</v>
      </c>
      <c r="AD46" s="13" t="s">
        <v>138</v>
      </c>
      <c r="AE46" s="13" t="s">
        <v>138</v>
      </c>
      <c r="AF46" s="13">
        <v>0</v>
      </c>
      <c r="AG46" s="13">
        <v>520</v>
      </c>
      <c r="AH46" s="13">
        <v>520</v>
      </c>
      <c r="AI46" s="13" t="s">
        <v>265</v>
      </c>
      <c r="AJ46" s="13" t="s">
        <v>265</v>
      </c>
      <c r="AK46" s="13" t="s">
        <v>140</v>
      </c>
      <c r="AL46" s="13">
        <v>0</v>
      </c>
      <c r="AM46" s="13">
        <v>1.21</v>
      </c>
      <c r="AN46" s="13">
        <v>1.21</v>
      </c>
      <c r="AO46" s="13">
        <v>10.04</v>
      </c>
      <c r="AP46" s="13">
        <v>38</v>
      </c>
      <c r="AQ46" s="13">
        <v>74</v>
      </c>
      <c r="AR46" s="13">
        <v>356.48</v>
      </c>
      <c r="AS46" s="13">
        <v>25</v>
      </c>
      <c r="AT46" s="13">
        <v>0</v>
      </c>
      <c r="AU46" s="13">
        <v>47</v>
      </c>
      <c r="AV46" s="13">
        <v>10</v>
      </c>
      <c r="AW46" s="13">
        <v>30</v>
      </c>
      <c r="AX46" s="13">
        <v>0</v>
      </c>
      <c r="AY46" s="13">
        <v>74</v>
      </c>
      <c r="AZ46" s="13">
        <v>236</v>
      </c>
      <c r="BA46" s="13">
        <v>25</v>
      </c>
      <c r="BB46" s="13" t="s"/>
      <c r="BC46" s="13" t="s"/>
      <c r="BD46" s="1">
        <f>=IF(IF(BC46&lt;&gt;"",IF(BB46&lt;&gt;"",CEILING(((BB46-BC46)/BB46)*100,1),IF(AND(O46&lt;&gt;"",O46&gt;0),CEILING((((O46-BC46)/O46)*100),1),"")),"")&gt;=0,IF(BC46&lt;&gt;"",IF(BB46&lt;&gt;"",CEILING(((BB46-BC46)/BB46)*100,1),IF(AND(O46&lt;&gt;"",O46&gt;0),CEILING((((O46-BC46)/O46)*100),1),"")),""), "Ошибка: цена до скидки должна быть больше текущей.")</f>
      </c>
      <c r="BE46" s="13" t="s"/>
      <c r="BF46" s="13" t="s"/>
      <c r="BG46" s="13" t="s"/>
      <c r="BH46" s="13" t="s"/>
      <c r="BI46" s="13" t="s"/>
      <c r="BJ46" s="13" t="s"/>
      <c r="BK46" s="13" t="s"/>
    </row>
    <row r="47" ht="20" customHeight="true">
      <c r="A47" s="13" t="s">
        <v>266</v>
      </c>
      <c r="B47" s="13">
        <v>990315700</v>
      </c>
      <c r="C47" s="13" t="s">
        <v>128</v>
      </c>
      <c r="D47" s="13" t="s">
        <v>129</v>
      </c>
      <c r="E47" s="13" t="s">
        <v>130</v>
      </c>
      <c r="F47" s="13">
        <v>187</v>
      </c>
      <c r="G47" s="13">
        <v>0</v>
      </c>
      <c r="H47" s="13">
        <v>2.912</v>
      </c>
      <c r="I47" s="13">
        <v>0.6</v>
      </c>
      <c r="J47" s="13" t="s">
        <v>267</v>
      </c>
      <c r="K47" s="13">
        <v>14056</v>
      </c>
      <c r="L47" s="13">
        <v>1415</v>
      </c>
      <c r="M47" s="13">
        <v>0.99</v>
      </c>
      <c r="N47" s="13">
        <v>14</v>
      </c>
      <c r="O47" s="13">
        <v>1366</v>
      </c>
      <c r="P47" s="13">
        <v>1004</v>
      </c>
      <c r="Q47" s="13">
        <v>27</v>
      </c>
      <c r="R47" s="13">
        <v>362</v>
      </c>
      <c r="S47" s="13">
        <v>1004</v>
      </c>
      <c r="T47" s="13">
        <v>48</v>
      </c>
      <c r="U47" s="13">
        <v>651</v>
      </c>
      <c r="V47" s="13" t="s">
        <v>132</v>
      </c>
      <c r="W47" s="13">
        <v>502</v>
      </c>
      <c r="X47" s="13" t="s">
        <v>133</v>
      </c>
      <c r="Y47" s="13" t="s">
        <v>134</v>
      </c>
      <c r="Z47" s="13" t="s"/>
      <c r="AA47" s="13" t="s">
        <v>171</v>
      </c>
      <c r="AB47" s="13" t="s">
        <v>191</v>
      </c>
      <c r="AC47" s="13" t="s">
        <v>177</v>
      </c>
      <c r="AD47" s="13" t="s">
        <v>138</v>
      </c>
      <c r="AE47" s="13" t="s">
        <v>138</v>
      </c>
      <c r="AF47" s="13">
        <v>0</v>
      </c>
      <c r="AG47" s="13">
        <v>520</v>
      </c>
      <c r="AH47" s="13">
        <v>520</v>
      </c>
      <c r="AI47" s="13" t="s">
        <v>265</v>
      </c>
      <c r="AJ47" s="13" t="s">
        <v>265</v>
      </c>
      <c r="AK47" s="13" t="s">
        <v>140</v>
      </c>
      <c r="AL47" s="13">
        <v>0</v>
      </c>
      <c r="AM47" s="13">
        <v>1.21</v>
      </c>
      <c r="AN47" s="13">
        <v>1.21</v>
      </c>
      <c r="AO47" s="13">
        <v>10.04</v>
      </c>
      <c r="AP47" s="13">
        <v>38</v>
      </c>
      <c r="AQ47" s="13">
        <v>74</v>
      </c>
      <c r="AR47" s="13">
        <v>356.48</v>
      </c>
      <c r="AS47" s="13">
        <v>25</v>
      </c>
      <c r="AT47" s="13">
        <v>0</v>
      </c>
      <c r="AU47" s="13">
        <v>47</v>
      </c>
      <c r="AV47" s="13">
        <v>10</v>
      </c>
      <c r="AW47" s="13">
        <v>30</v>
      </c>
      <c r="AX47" s="13">
        <v>0</v>
      </c>
      <c r="AY47" s="13">
        <v>74</v>
      </c>
      <c r="AZ47" s="13">
        <v>236</v>
      </c>
      <c r="BA47" s="13">
        <v>25</v>
      </c>
      <c r="BB47" s="13" t="s"/>
      <c r="BC47" s="13" t="s"/>
      <c r="BD47" s="1">
        <f>=IF(IF(BC47&lt;&gt;"",IF(BB47&lt;&gt;"",CEILING(((BB47-BC47)/BB47)*100,1),IF(AND(O47&lt;&gt;"",O47&gt;0),CEILING((((O47-BC47)/O47)*100),1),"")),"")&gt;=0,IF(BC47&lt;&gt;"",IF(BB47&lt;&gt;"",CEILING(((BB47-BC47)/BB47)*100,1),IF(AND(O47&lt;&gt;"",O47&gt;0),CEILING((((O47-BC47)/O47)*100),1),"")),""), "Ошибка: цена до скидки должна быть больше текущей.")</f>
      </c>
      <c r="BE47" s="13" t="s"/>
      <c r="BF47" s="13" t="s"/>
      <c r="BG47" s="13" t="s"/>
      <c r="BH47" s="13" t="s"/>
      <c r="BI47" s="13" t="s"/>
      <c r="BJ47" s="13" t="s"/>
      <c r="BK47" s="13" t="s"/>
    </row>
    <row r="48" ht="20" customHeight="true">
      <c r="A48" s="13" t="s">
        <v>268</v>
      </c>
      <c r="B48" s="13">
        <v>990315776</v>
      </c>
      <c r="C48" s="13" t="s">
        <v>128</v>
      </c>
      <c r="D48" s="13" t="s">
        <v>129</v>
      </c>
      <c r="E48" s="13" t="s">
        <v>130</v>
      </c>
      <c r="F48" s="13">
        <v>583</v>
      </c>
      <c r="G48" s="13">
        <v>0</v>
      </c>
      <c r="H48" s="13">
        <v>2.0355</v>
      </c>
      <c r="I48" s="13">
        <v>0.4</v>
      </c>
      <c r="J48" s="13" t="s">
        <v>269</v>
      </c>
      <c r="K48" s="13">
        <v>5020</v>
      </c>
      <c r="L48" s="13">
        <v>1664</v>
      </c>
      <c r="M48" s="13">
        <v>0.3</v>
      </c>
      <c r="N48" s="13">
        <v>5</v>
      </c>
      <c r="O48" s="13">
        <v>1366</v>
      </c>
      <c r="P48" s="13">
        <v>1004</v>
      </c>
      <c r="Q48" s="13">
        <v>27</v>
      </c>
      <c r="R48" s="13">
        <v>362</v>
      </c>
      <c r="S48" s="13">
        <v>1004</v>
      </c>
      <c r="T48" s="13">
        <v>48</v>
      </c>
      <c r="U48" s="13">
        <v>651</v>
      </c>
      <c r="V48" s="13" t="s">
        <v>132</v>
      </c>
      <c r="W48" s="13">
        <v>502</v>
      </c>
      <c r="X48" s="13" t="s">
        <v>133</v>
      </c>
      <c r="Y48" s="13" t="s">
        <v>134</v>
      </c>
      <c r="Z48" s="13" t="s"/>
      <c r="AA48" s="13" t="s">
        <v>159</v>
      </c>
      <c r="AB48" s="13" t="s">
        <v>154</v>
      </c>
      <c r="AC48" s="13" t="s">
        <v>155</v>
      </c>
      <c r="AD48" s="13" t="s">
        <v>138</v>
      </c>
      <c r="AE48" s="13" t="s">
        <v>138</v>
      </c>
      <c r="AF48" s="13">
        <v>0</v>
      </c>
      <c r="AG48" s="13">
        <v>520</v>
      </c>
      <c r="AH48" s="13">
        <v>520</v>
      </c>
      <c r="AI48" s="13" t="s">
        <v>265</v>
      </c>
      <c r="AJ48" s="13" t="s">
        <v>265</v>
      </c>
      <c r="AK48" s="13" t="s">
        <v>140</v>
      </c>
      <c r="AL48" s="13">
        <v>0</v>
      </c>
      <c r="AM48" s="13">
        <v>1.21</v>
      </c>
      <c r="AN48" s="13">
        <v>1.21</v>
      </c>
      <c r="AO48" s="13">
        <v>10.04</v>
      </c>
      <c r="AP48" s="13">
        <v>38</v>
      </c>
      <c r="AQ48" s="13">
        <v>74</v>
      </c>
      <c r="AR48" s="13">
        <v>356.48</v>
      </c>
      <c r="AS48" s="13">
        <v>25</v>
      </c>
      <c r="AT48" s="13">
        <v>0</v>
      </c>
      <c r="AU48" s="13">
        <v>47</v>
      </c>
      <c r="AV48" s="13">
        <v>10</v>
      </c>
      <c r="AW48" s="13">
        <v>30</v>
      </c>
      <c r="AX48" s="13">
        <v>0</v>
      </c>
      <c r="AY48" s="13">
        <v>74</v>
      </c>
      <c r="AZ48" s="13">
        <v>236</v>
      </c>
      <c r="BA48" s="13">
        <v>25</v>
      </c>
      <c r="BB48" s="13" t="s"/>
      <c r="BC48" s="13" t="s"/>
      <c r="BD48" s="1">
        <f>=IF(IF(BC48&lt;&gt;"",IF(BB48&lt;&gt;"",CEILING(((BB48-BC48)/BB48)*100,1),IF(AND(O48&lt;&gt;"",O48&gt;0),CEILING((((O48-BC48)/O48)*100),1),"")),"")&gt;=0,IF(BC48&lt;&gt;"",IF(BB48&lt;&gt;"",CEILING(((BB48-BC48)/BB48)*100,1),IF(AND(O48&lt;&gt;"",O48&gt;0),CEILING((((O48-BC48)/O48)*100),1),"")),""), "Ошибка: цена до скидки должна быть больше текущей.")</f>
      </c>
      <c r="BE48" s="13" t="s"/>
      <c r="BF48" s="13" t="s"/>
      <c r="BG48" s="13" t="s"/>
      <c r="BH48" s="13" t="s"/>
      <c r="BI48" s="13" t="s"/>
      <c r="BJ48" s="13" t="s"/>
      <c r="BK48" s="13" t="s"/>
    </row>
    <row r="49" ht="20" customHeight="true">
      <c r="A49" s="13" t="s">
        <v>270</v>
      </c>
      <c r="B49" s="13">
        <v>990350309</v>
      </c>
      <c r="C49" s="13" t="s">
        <v>128</v>
      </c>
      <c r="D49" s="13" t="s">
        <v>129</v>
      </c>
      <c r="E49" s="13" t="s">
        <v>130</v>
      </c>
      <c r="F49" s="13">
        <v>163</v>
      </c>
      <c r="G49" s="13">
        <v>0</v>
      </c>
      <c r="H49" s="13">
        <v>3</v>
      </c>
      <c r="I49" s="13">
        <v>0.6</v>
      </c>
      <c r="J49" s="13" t="s">
        <v>271</v>
      </c>
      <c r="K49" s="13">
        <v>0</v>
      </c>
      <c r="L49" s="13">
        <v>555</v>
      </c>
      <c r="M49" s="13">
        <v>0</v>
      </c>
      <c r="N49" s="13">
        <v>0</v>
      </c>
      <c r="O49" s="13">
        <v>1366</v>
      </c>
      <c r="P49" s="13">
        <v>1004</v>
      </c>
      <c r="Q49" s="13">
        <v>27</v>
      </c>
      <c r="R49" s="13">
        <v>362</v>
      </c>
      <c r="S49" s="13">
        <v>1004</v>
      </c>
      <c r="T49" s="13">
        <v>48</v>
      </c>
      <c r="U49" s="13">
        <v>646</v>
      </c>
      <c r="V49" s="13" t="s">
        <v>132</v>
      </c>
      <c r="W49" s="13">
        <v>502</v>
      </c>
      <c r="X49" s="13" t="s">
        <v>133</v>
      </c>
      <c r="Y49" s="13" t="s">
        <v>134</v>
      </c>
      <c r="Z49" s="13" t="s"/>
      <c r="AA49" s="13" t="s">
        <v>168</v>
      </c>
      <c r="AB49" s="13" t="s">
        <v>191</v>
      </c>
      <c r="AC49" s="13" t="s">
        <v>177</v>
      </c>
      <c r="AD49" s="13" t="s">
        <v>138</v>
      </c>
      <c r="AE49" s="13" t="s">
        <v>138</v>
      </c>
      <c r="AF49" s="13">
        <v>0</v>
      </c>
      <c r="AG49" s="13">
        <v>520</v>
      </c>
      <c r="AH49" s="13">
        <v>520</v>
      </c>
      <c r="AI49" s="13" t="s">
        <v>272</v>
      </c>
      <c r="AJ49" s="13" t="s">
        <v>272</v>
      </c>
      <c r="AK49" s="13" t="s">
        <v>140</v>
      </c>
      <c r="AL49" s="13">
        <v>0</v>
      </c>
      <c r="AM49" s="13">
        <v>1.21</v>
      </c>
      <c r="AN49" s="13">
        <v>1.21</v>
      </c>
      <c r="AO49" s="13">
        <v>10.04</v>
      </c>
      <c r="AP49" s="13">
        <v>38</v>
      </c>
      <c r="AQ49" s="13">
        <v>74</v>
      </c>
      <c r="AR49" s="13">
        <v>356.48</v>
      </c>
      <c r="AS49" s="13">
        <v>25</v>
      </c>
      <c r="AT49" s="13">
        <v>0</v>
      </c>
      <c r="AU49" s="13">
        <v>47</v>
      </c>
      <c r="AV49" s="13">
        <v>10</v>
      </c>
      <c r="AW49" s="13">
        <v>30</v>
      </c>
      <c r="AX49" s="13">
        <v>0</v>
      </c>
      <c r="AY49" s="13">
        <v>74</v>
      </c>
      <c r="AZ49" s="13">
        <v>236</v>
      </c>
      <c r="BA49" s="13">
        <v>25</v>
      </c>
      <c r="BB49" s="13" t="s"/>
      <c r="BC49" s="13" t="s"/>
      <c r="BD49" s="1">
        <f>=IF(IF(BC49&lt;&gt;"",IF(BB49&lt;&gt;"",CEILING(((BB49-BC49)/BB49)*100,1),IF(AND(O49&lt;&gt;"",O49&gt;0),CEILING((((O49-BC49)/O49)*100),1),"")),"")&gt;=0,IF(BC49&lt;&gt;"",IF(BB49&lt;&gt;"",CEILING(((BB49-BC49)/BB49)*100,1),IF(AND(O49&lt;&gt;"",O49&gt;0),CEILING((((O49-BC49)/O49)*100),1),"")),""), "Ошибка: цена до скидки должна быть больше текущей.")</f>
      </c>
      <c r="BE49" s="13" t="s"/>
      <c r="BF49" s="13" t="s"/>
      <c r="BG49" s="13" t="s"/>
      <c r="BH49" s="13" t="s"/>
      <c r="BI49" s="13" t="s"/>
      <c r="BJ49" s="13" t="s"/>
      <c r="BK49" s="13" t="s"/>
    </row>
    <row r="50" ht="20" customHeight="true">
      <c r="A50" s="13" t="s">
        <v>273</v>
      </c>
      <c r="B50" s="13">
        <v>990365325</v>
      </c>
      <c r="C50" s="13" t="s">
        <v>128</v>
      </c>
      <c r="D50" s="13" t="s">
        <v>129</v>
      </c>
      <c r="E50" s="13" t="s">
        <v>130</v>
      </c>
      <c r="F50" s="13">
        <v>880</v>
      </c>
      <c r="G50" s="13">
        <v>0</v>
      </c>
      <c r="H50" s="13">
        <v>2.912</v>
      </c>
      <c r="I50" s="13">
        <v>0.6</v>
      </c>
      <c r="J50" s="13" t="s">
        <v>274</v>
      </c>
      <c r="K50" s="13">
        <v>8032</v>
      </c>
      <c r="L50" s="13">
        <v>2706</v>
      </c>
      <c r="M50" s="13">
        <v>0.3</v>
      </c>
      <c r="N50" s="13">
        <v>8</v>
      </c>
      <c r="O50" s="13">
        <v>1366</v>
      </c>
      <c r="P50" s="13">
        <v>1004</v>
      </c>
      <c r="Q50" s="13">
        <v>27</v>
      </c>
      <c r="R50" s="13">
        <v>362</v>
      </c>
      <c r="S50" s="13">
        <v>1004</v>
      </c>
      <c r="T50" s="13">
        <v>48</v>
      </c>
      <c r="U50" s="13">
        <v>651</v>
      </c>
      <c r="V50" s="13" t="s">
        <v>132</v>
      </c>
      <c r="W50" s="13">
        <v>502</v>
      </c>
      <c r="X50" s="13" t="s">
        <v>133</v>
      </c>
      <c r="Y50" s="13" t="s">
        <v>134</v>
      </c>
      <c r="Z50" s="13" t="s"/>
      <c r="AA50" s="13" t="s">
        <v>275</v>
      </c>
      <c r="AB50" s="13" t="s">
        <v>172</v>
      </c>
      <c r="AC50" s="13" t="s">
        <v>173</v>
      </c>
      <c r="AD50" s="13" t="s">
        <v>138</v>
      </c>
      <c r="AE50" s="13" t="s">
        <v>138</v>
      </c>
      <c r="AF50" s="13">
        <v>0</v>
      </c>
      <c r="AG50" s="13">
        <v>520</v>
      </c>
      <c r="AH50" s="13">
        <v>520</v>
      </c>
      <c r="AI50" s="13" t="s">
        <v>276</v>
      </c>
      <c r="AJ50" s="13" t="s">
        <v>276</v>
      </c>
      <c r="AK50" s="13" t="s">
        <v>140</v>
      </c>
      <c r="AL50" s="13">
        <v>0</v>
      </c>
      <c r="AM50" s="13">
        <v>1.21</v>
      </c>
      <c r="AN50" s="13">
        <v>1.21</v>
      </c>
      <c r="AO50" s="13">
        <v>10.04</v>
      </c>
      <c r="AP50" s="13">
        <v>38</v>
      </c>
      <c r="AQ50" s="13">
        <v>74</v>
      </c>
      <c r="AR50" s="13">
        <v>356.48</v>
      </c>
      <c r="AS50" s="13">
        <v>25</v>
      </c>
      <c r="AT50" s="13">
        <v>0</v>
      </c>
      <c r="AU50" s="13">
        <v>47</v>
      </c>
      <c r="AV50" s="13">
        <v>10</v>
      </c>
      <c r="AW50" s="13">
        <v>30</v>
      </c>
      <c r="AX50" s="13">
        <v>0</v>
      </c>
      <c r="AY50" s="13">
        <v>74</v>
      </c>
      <c r="AZ50" s="13">
        <v>236</v>
      </c>
      <c r="BA50" s="13">
        <v>25</v>
      </c>
      <c r="BB50" s="13" t="s"/>
      <c r="BC50" s="13" t="s"/>
      <c r="BD50" s="1">
        <f>=IF(IF(BC50&lt;&gt;"",IF(BB50&lt;&gt;"",CEILING(((BB50-BC50)/BB50)*100,1),IF(AND(O50&lt;&gt;"",O50&gt;0),CEILING((((O50-BC50)/O50)*100),1),"")),"")&gt;=0,IF(BC50&lt;&gt;"",IF(BB50&lt;&gt;"",CEILING(((BB50-BC50)/BB50)*100,1),IF(AND(O50&lt;&gt;"",O50&gt;0),CEILING((((O50-BC50)/O50)*100),1),"")),""), "Ошибка: цена до скидки должна быть больше текущей.")</f>
      </c>
      <c r="BE50" s="13" t="s"/>
      <c r="BF50" s="13" t="s"/>
      <c r="BG50" s="13" t="s"/>
      <c r="BH50" s="13" t="s"/>
      <c r="BI50" s="13" t="s"/>
      <c r="BJ50" s="13" t="s"/>
      <c r="BK50" s="13" t="s"/>
    </row>
    <row r="51" ht="20" customHeight="true">
      <c r="A51" s="13" t="s">
        <v>277</v>
      </c>
      <c r="B51" s="13">
        <v>990365514</v>
      </c>
      <c r="C51" s="13" t="s">
        <v>128</v>
      </c>
      <c r="D51" s="13" t="s">
        <v>129</v>
      </c>
      <c r="E51" s="13" t="s">
        <v>130</v>
      </c>
      <c r="F51" s="13">
        <v>644</v>
      </c>
      <c r="G51" s="13">
        <v>0</v>
      </c>
      <c r="H51" s="13">
        <v>2.912</v>
      </c>
      <c r="I51" s="13">
        <v>0.6</v>
      </c>
      <c r="J51" s="13" t="s">
        <v>278</v>
      </c>
      <c r="K51" s="13">
        <v>6024</v>
      </c>
      <c r="L51" s="13">
        <v>2274</v>
      </c>
      <c r="M51" s="13">
        <v>0.26</v>
      </c>
      <c r="N51" s="13">
        <v>6</v>
      </c>
      <c r="O51" s="13">
        <v>1366</v>
      </c>
      <c r="P51" s="13">
        <v>1004</v>
      </c>
      <c r="Q51" s="13">
        <v>27</v>
      </c>
      <c r="R51" s="13">
        <v>362</v>
      </c>
      <c r="S51" s="13">
        <v>1004</v>
      </c>
      <c r="T51" s="13">
        <v>48</v>
      </c>
      <c r="U51" s="13">
        <v>651</v>
      </c>
      <c r="V51" s="13" t="s">
        <v>132</v>
      </c>
      <c r="W51" s="13">
        <v>502</v>
      </c>
      <c r="X51" s="13" t="s">
        <v>133</v>
      </c>
      <c r="Y51" s="13" t="s">
        <v>134</v>
      </c>
      <c r="Z51" s="13" t="s"/>
      <c r="AA51" s="13" t="s">
        <v>279</v>
      </c>
      <c r="AB51" s="13" t="s">
        <v>180</v>
      </c>
      <c r="AC51" s="13" t="s">
        <v>181</v>
      </c>
      <c r="AD51" s="13" t="s">
        <v>138</v>
      </c>
      <c r="AE51" s="13" t="s">
        <v>138</v>
      </c>
      <c r="AF51" s="13">
        <v>0</v>
      </c>
      <c r="AG51" s="13">
        <v>520</v>
      </c>
      <c r="AH51" s="13">
        <v>520</v>
      </c>
      <c r="AI51" s="13" t="s">
        <v>276</v>
      </c>
      <c r="AJ51" s="13" t="s">
        <v>276</v>
      </c>
      <c r="AK51" s="13" t="s">
        <v>140</v>
      </c>
      <c r="AL51" s="13">
        <v>0</v>
      </c>
      <c r="AM51" s="13">
        <v>1.21</v>
      </c>
      <c r="AN51" s="13">
        <v>1.21</v>
      </c>
      <c r="AO51" s="13">
        <v>10.04</v>
      </c>
      <c r="AP51" s="13">
        <v>38</v>
      </c>
      <c r="AQ51" s="13">
        <v>74</v>
      </c>
      <c r="AR51" s="13">
        <v>356.48</v>
      </c>
      <c r="AS51" s="13">
        <v>25</v>
      </c>
      <c r="AT51" s="13">
        <v>0</v>
      </c>
      <c r="AU51" s="13">
        <v>47</v>
      </c>
      <c r="AV51" s="13">
        <v>10</v>
      </c>
      <c r="AW51" s="13">
        <v>30</v>
      </c>
      <c r="AX51" s="13">
        <v>0</v>
      </c>
      <c r="AY51" s="13">
        <v>74</v>
      </c>
      <c r="AZ51" s="13">
        <v>236</v>
      </c>
      <c r="BA51" s="13">
        <v>25</v>
      </c>
      <c r="BB51" s="13" t="s"/>
      <c r="BC51" s="13" t="s"/>
      <c r="BD51" s="1">
        <f>=IF(IF(BC51&lt;&gt;"",IF(BB51&lt;&gt;"",CEILING(((BB51-BC51)/BB51)*100,1),IF(AND(O51&lt;&gt;"",O51&gt;0),CEILING((((O51-BC51)/O51)*100),1),"")),"")&gt;=0,IF(BC51&lt;&gt;"",IF(BB51&lt;&gt;"",CEILING(((BB51-BC51)/BB51)*100,1),IF(AND(O51&lt;&gt;"",O51&gt;0),CEILING((((O51-BC51)/O51)*100),1),"")),""), "Ошибка: цена до скидки должна быть больше текущей.")</f>
      </c>
      <c r="BE51" s="13" t="s"/>
      <c r="BF51" s="13" t="s"/>
      <c r="BG51" s="13" t="s"/>
      <c r="BH51" s="13" t="s"/>
      <c r="BI51" s="13" t="s"/>
      <c r="BJ51" s="13" t="s"/>
      <c r="BK51" s="13" t="s"/>
    </row>
    <row r="52" ht="20" customHeight="true">
      <c r="A52" s="13" t="s">
        <v>280</v>
      </c>
      <c r="B52" s="13">
        <v>990365551</v>
      </c>
      <c r="C52" s="13" t="s">
        <v>128</v>
      </c>
      <c r="D52" s="13" t="s">
        <v>129</v>
      </c>
      <c r="E52" s="13" t="s">
        <v>130</v>
      </c>
      <c r="F52" s="13">
        <v>332</v>
      </c>
      <c r="G52" s="13">
        <v>0</v>
      </c>
      <c r="H52" s="13">
        <v>2.912</v>
      </c>
      <c r="I52" s="13">
        <v>0.6</v>
      </c>
      <c r="J52" s="13" t="s">
        <v>281</v>
      </c>
      <c r="K52" s="13">
        <v>5020</v>
      </c>
      <c r="L52" s="13">
        <v>2789</v>
      </c>
      <c r="M52" s="13">
        <v>0.18</v>
      </c>
      <c r="N52" s="13">
        <v>5</v>
      </c>
      <c r="O52" s="13">
        <v>1366</v>
      </c>
      <c r="P52" s="13">
        <v>1004</v>
      </c>
      <c r="Q52" s="13">
        <v>27</v>
      </c>
      <c r="R52" s="13">
        <v>362</v>
      </c>
      <c r="S52" s="13">
        <v>1004</v>
      </c>
      <c r="T52" s="13">
        <v>48</v>
      </c>
      <c r="U52" s="13">
        <v>651</v>
      </c>
      <c r="V52" s="13" t="s">
        <v>132</v>
      </c>
      <c r="W52" s="13">
        <v>502</v>
      </c>
      <c r="X52" s="13" t="s">
        <v>133</v>
      </c>
      <c r="Y52" s="13" t="s">
        <v>134</v>
      </c>
      <c r="Z52" s="13" t="s"/>
      <c r="AA52" s="13" t="s">
        <v>218</v>
      </c>
      <c r="AB52" s="13" t="s">
        <v>172</v>
      </c>
      <c r="AC52" s="13" t="s">
        <v>173</v>
      </c>
      <c r="AD52" s="13" t="s">
        <v>138</v>
      </c>
      <c r="AE52" s="13" t="s">
        <v>138</v>
      </c>
      <c r="AF52" s="13">
        <v>0</v>
      </c>
      <c r="AG52" s="13">
        <v>520</v>
      </c>
      <c r="AH52" s="13">
        <v>520</v>
      </c>
      <c r="AI52" s="13" t="s">
        <v>282</v>
      </c>
      <c r="AJ52" s="13" t="s">
        <v>282</v>
      </c>
      <c r="AK52" s="13" t="s">
        <v>140</v>
      </c>
      <c r="AL52" s="13">
        <v>0</v>
      </c>
      <c r="AM52" s="13">
        <v>1.21</v>
      </c>
      <c r="AN52" s="13">
        <v>1.21</v>
      </c>
      <c r="AO52" s="13">
        <v>10.04</v>
      </c>
      <c r="AP52" s="13">
        <v>38</v>
      </c>
      <c r="AQ52" s="13">
        <v>74</v>
      </c>
      <c r="AR52" s="13">
        <v>356.48</v>
      </c>
      <c r="AS52" s="13">
        <v>25</v>
      </c>
      <c r="AT52" s="13">
        <v>0</v>
      </c>
      <c r="AU52" s="13">
        <v>47</v>
      </c>
      <c r="AV52" s="13">
        <v>10</v>
      </c>
      <c r="AW52" s="13">
        <v>30</v>
      </c>
      <c r="AX52" s="13">
        <v>0</v>
      </c>
      <c r="AY52" s="13">
        <v>74</v>
      </c>
      <c r="AZ52" s="13">
        <v>236</v>
      </c>
      <c r="BA52" s="13">
        <v>25</v>
      </c>
      <c r="BB52" s="13" t="s"/>
      <c r="BC52" s="13" t="s"/>
      <c r="BD52" s="1">
        <f>=IF(IF(BC52&lt;&gt;"",IF(BB52&lt;&gt;"",CEILING(((BB52-BC52)/BB52)*100,1),IF(AND(O52&lt;&gt;"",O52&gt;0),CEILING((((O52-BC52)/O52)*100),1),"")),"")&gt;=0,IF(BC52&lt;&gt;"",IF(BB52&lt;&gt;"",CEILING(((BB52-BC52)/BB52)*100,1),IF(AND(O52&lt;&gt;"",O52&gt;0),CEILING((((O52-BC52)/O52)*100),1),"")),""), "Ошибка: цена до скидки должна быть больше текущей.")</f>
      </c>
      <c r="BE52" s="13" t="s"/>
      <c r="BF52" s="13" t="s"/>
      <c r="BG52" s="13" t="s"/>
      <c r="BH52" s="13" t="s"/>
      <c r="BI52" s="13" t="s"/>
      <c r="BJ52" s="13" t="s"/>
      <c r="BK52" s="13" t="s"/>
    </row>
    <row r="53" ht="20" customHeight="true">
      <c r="A53" s="13" t="s">
        <v>283</v>
      </c>
      <c r="B53" s="13">
        <v>990365319</v>
      </c>
      <c r="C53" s="13" t="s">
        <v>128</v>
      </c>
      <c r="D53" s="13" t="s">
        <v>129</v>
      </c>
      <c r="E53" s="13" t="s">
        <v>130</v>
      </c>
      <c r="F53" s="13">
        <v>273</v>
      </c>
      <c r="G53" s="13">
        <v>0</v>
      </c>
      <c r="H53" s="13">
        <v>1.84275</v>
      </c>
      <c r="I53" s="13">
        <v>0.4</v>
      </c>
      <c r="J53" s="13" t="s">
        <v>284</v>
      </c>
      <c r="K53" s="13">
        <v>4016</v>
      </c>
      <c r="L53" s="13">
        <v>1681</v>
      </c>
      <c r="M53" s="13">
        <v>0.24</v>
      </c>
      <c r="N53" s="13">
        <v>4</v>
      </c>
      <c r="O53" s="13">
        <v>1366</v>
      </c>
      <c r="P53" s="13">
        <v>1004</v>
      </c>
      <c r="Q53" s="13">
        <v>27</v>
      </c>
      <c r="R53" s="13">
        <v>362</v>
      </c>
      <c r="S53" s="13">
        <v>1004</v>
      </c>
      <c r="T53" s="13">
        <v>48</v>
      </c>
      <c r="U53" s="13">
        <v>655</v>
      </c>
      <c r="V53" s="13" t="s">
        <v>132</v>
      </c>
      <c r="W53" s="13">
        <v>502</v>
      </c>
      <c r="X53" s="13" t="s">
        <v>133</v>
      </c>
      <c r="Y53" s="13" t="s">
        <v>134</v>
      </c>
      <c r="Z53" s="13" t="s"/>
      <c r="AA53" s="13" t="s">
        <v>171</v>
      </c>
      <c r="AB53" s="13" t="s">
        <v>191</v>
      </c>
      <c r="AC53" s="13" t="s">
        <v>177</v>
      </c>
      <c r="AD53" s="13" t="s">
        <v>138</v>
      </c>
      <c r="AE53" s="13" t="s">
        <v>138</v>
      </c>
      <c r="AF53" s="13">
        <v>0</v>
      </c>
      <c r="AG53" s="13">
        <v>520</v>
      </c>
      <c r="AH53" s="13">
        <v>520</v>
      </c>
      <c r="AI53" s="13" t="s">
        <v>272</v>
      </c>
      <c r="AJ53" s="13" t="s">
        <v>272</v>
      </c>
      <c r="AK53" s="13" t="s">
        <v>140</v>
      </c>
      <c r="AL53" s="13">
        <v>0</v>
      </c>
      <c r="AM53" s="13">
        <v>1.2</v>
      </c>
      <c r="AN53" s="13">
        <v>1.2</v>
      </c>
      <c r="AO53" s="13">
        <v>10.04</v>
      </c>
      <c r="AP53" s="13">
        <v>38</v>
      </c>
      <c r="AQ53" s="13">
        <v>74</v>
      </c>
      <c r="AR53" s="13">
        <v>338.48</v>
      </c>
      <c r="AS53" s="13">
        <v>25</v>
      </c>
      <c r="AT53" s="13">
        <v>0</v>
      </c>
      <c r="AU53" s="13">
        <v>47</v>
      </c>
      <c r="AV53" s="13">
        <v>10</v>
      </c>
      <c r="AW53" s="13">
        <v>30</v>
      </c>
      <c r="AX53" s="13">
        <v>0</v>
      </c>
      <c r="AY53" s="13">
        <v>74</v>
      </c>
      <c r="AZ53" s="13">
        <v>218</v>
      </c>
      <c r="BA53" s="13">
        <v>25</v>
      </c>
      <c r="BB53" s="13" t="s"/>
      <c r="BC53" s="13" t="s"/>
      <c r="BD53" s="1">
        <f>=IF(IF(BC53&lt;&gt;"",IF(BB53&lt;&gt;"",CEILING(((BB53-BC53)/BB53)*100,1),IF(AND(O53&lt;&gt;"",O53&gt;0),CEILING((((O53-BC53)/O53)*100),1),"")),"")&gt;=0,IF(BC53&lt;&gt;"",IF(BB53&lt;&gt;"",CEILING(((BB53-BC53)/BB53)*100,1),IF(AND(O53&lt;&gt;"",O53&gt;0),CEILING((((O53-BC53)/O53)*100),1),"")),""), "Ошибка: цена до скидки должна быть больше текущей.")</f>
      </c>
      <c r="BE53" s="13" t="s"/>
      <c r="BF53" s="13" t="s"/>
      <c r="BG53" s="13" t="s"/>
      <c r="BH53" s="13" t="s"/>
      <c r="BI53" s="13" t="s"/>
      <c r="BJ53" s="13" t="s"/>
      <c r="BK53" s="13" t="s"/>
    </row>
    <row r="54" ht="20" customHeight="true">
      <c r="A54" s="13" t="s">
        <v>285</v>
      </c>
      <c r="B54" s="13">
        <v>990365338</v>
      </c>
      <c r="C54" s="13" t="s">
        <v>128</v>
      </c>
      <c r="D54" s="13" t="s">
        <v>129</v>
      </c>
      <c r="E54" s="13" t="s">
        <v>130</v>
      </c>
      <c r="F54" s="13">
        <v>569</v>
      </c>
      <c r="G54" s="13">
        <v>0</v>
      </c>
      <c r="H54" s="13">
        <v>2.912</v>
      </c>
      <c r="I54" s="13">
        <v>0.6</v>
      </c>
      <c r="J54" s="13" t="s">
        <v>286</v>
      </c>
      <c r="K54" s="13">
        <v>4016</v>
      </c>
      <c r="L54" s="13">
        <v>1406</v>
      </c>
      <c r="M54" s="13">
        <v>0.28</v>
      </c>
      <c r="N54" s="13">
        <v>4</v>
      </c>
      <c r="O54" s="13">
        <v>1366</v>
      </c>
      <c r="P54" s="13">
        <v>1004</v>
      </c>
      <c r="Q54" s="13">
        <v>27</v>
      </c>
      <c r="R54" s="13">
        <v>362</v>
      </c>
      <c r="S54" s="13">
        <v>1004</v>
      </c>
      <c r="T54" s="13">
        <v>48</v>
      </c>
      <c r="U54" s="13">
        <v>651</v>
      </c>
      <c r="V54" s="13" t="s">
        <v>132</v>
      </c>
      <c r="W54" s="13">
        <v>502</v>
      </c>
      <c r="X54" s="13" t="s">
        <v>133</v>
      </c>
      <c r="Y54" s="13" t="s">
        <v>134</v>
      </c>
      <c r="Z54" s="13" t="s"/>
      <c r="AA54" s="13" t="s">
        <v>153</v>
      </c>
      <c r="AB54" s="13" t="s">
        <v>154</v>
      </c>
      <c r="AC54" s="13" t="s">
        <v>155</v>
      </c>
      <c r="AD54" s="13" t="s">
        <v>138</v>
      </c>
      <c r="AE54" s="13" t="s">
        <v>138</v>
      </c>
      <c r="AF54" s="13">
        <v>0</v>
      </c>
      <c r="AG54" s="13">
        <v>520</v>
      </c>
      <c r="AH54" s="13">
        <v>520</v>
      </c>
      <c r="AI54" s="13" t="s">
        <v>272</v>
      </c>
      <c r="AJ54" s="13" t="s">
        <v>272</v>
      </c>
      <c r="AK54" s="13" t="s">
        <v>140</v>
      </c>
      <c r="AL54" s="13">
        <v>0</v>
      </c>
      <c r="AM54" s="13">
        <v>1.21</v>
      </c>
      <c r="AN54" s="13">
        <v>1.21</v>
      </c>
      <c r="AO54" s="13">
        <v>10.04</v>
      </c>
      <c r="AP54" s="13">
        <v>38</v>
      </c>
      <c r="AQ54" s="13">
        <v>74</v>
      </c>
      <c r="AR54" s="13">
        <v>356.48</v>
      </c>
      <c r="AS54" s="13">
        <v>25</v>
      </c>
      <c r="AT54" s="13">
        <v>0</v>
      </c>
      <c r="AU54" s="13">
        <v>47</v>
      </c>
      <c r="AV54" s="13">
        <v>10</v>
      </c>
      <c r="AW54" s="13">
        <v>30</v>
      </c>
      <c r="AX54" s="13">
        <v>0</v>
      </c>
      <c r="AY54" s="13">
        <v>74</v>
      </c>
      <c r="AZ54" s="13">
        <v>236</v>
      </c>
      <c r="BA54" s="13">
        <v>25</v>
      </c>
      <c r="BB54" s="13" t="s"/>
      <c r="BC54" s="13" t="s"/>
      <c r="BD54" s="1">
        <f>=IF(IF(BC54&lt;&gt;"",IF(BB54&lt;&gt;"",CEILING(((BB54-BC54)/BB54)*100,1),IF(AND(O54&lt;&gt;"",O54&gt;0),CEILING((((O54-BC54)/O54)*100),1),"")),"")&gt;=0,IF(BC54&lt;&gt;"",IF(BB54&lt;&gt;"",CEILING(((BB54-BC54)/BB54)*100,1),IF(AND(O54&lt;&gt;"",O54&gt;0),CEILING((((O54-BC54)/O54)*100),1),"")),""), "Ошибка: цена до скидки должна быть больше текущей.")</f>
      </c>
      <c r="BE54" s="13" t="s"/>
      <c r="BF54" s="13" t="s"/>
      <c r="BG54" s="13" t="s"/>
      <c r="BH54" s="13" t="s"/>
      <c r="BI54" s="13" t="s"/>
      <c r="BJ54" s="13" t="s"/>
      <c r="BK54" s="13" t="s"/>
    </row>
    <row r="55" ht="20" customHeight="true">
      <c r="A55" s="13" t="s">
        <v>287</v>
      </c>
      <c r="B55" s="13">
        <v>990365351</v>
      </c>
      <c r="C55" s="13" t="s">
        <v>128</v>
      </c>
      <c r="D55" s="13" t="s">
        <v>129</v>
      </c>
      <c r="E55" s="13" t="s">
        <v>130</v>
      </c>
      <c r="F55" s="13">
        <v>752</v>
      </c>
      <c r="G55" s="13">
        <v>0</v>
      </c>
      <c r="H55" s="13">
        <v>2.912</v>
      </c>
      <c r="I55" s="13">
        <v>0.6</v>
      </c>
      <c r="J55" s="13" t="s">
        <v>288</v>
      </c>
      <c r="K55" s="13">
        <v>8032</v>
      </c>
      <c r="L55" s="13">
        <v>2404</v>
      </c>
      <c r="M55" s="13">
        <v>0.33</v>
      </c>
      <c r="N55" s="13">
        <v>8</v>
      </c>
      <c r="O55" s="13">
        <v>1366</v>
      </c>
      <c r="P55" s="13">
        <v>1004</v>
      </c>
      <c r="Q55" s="13">
        <v>27</v>
      </c>
      <c r="R55" s="13">
        <v>362</v>
      </c>
      <c r="S55" s="13">
        <v>1004</v>
      </c>
      <c r="T55" s="13">
        <v>48</v>
      </c>
      <c r="U55" s="13">
        <v>651</v>
      </c>
      <c r="V55" s="13" t="s">
        <v>132</v>
      </c>
      <c r="W55" s="13">
        <v>502</v>
      </c>
      <c r="X55" s="13" t="s">
        <v>133</v>
      </c>
      <c r="Y55" s="13" t="s">
        <v>134</v>
      </c>
      <c r="Z55" s="13" t="s"/>
      <c r="AA55" s="13" t="s">
        <v>159</v>
      </c>
      <c r="AB55" s="13" t="s">
        <v>154</v>
      </c>
      <c r="AC55" s="13" t="s">
        <v>155</v>
      </c>
      <c r="AD55" s="13" t="s">
        <v>138</v>
      </c>
      <c r="AE55" s="13" t="s">
        <v>138</v>
      </c>
      <c r="AF55" s="13">
        <v>0</v>
      </c>
      <c r="AG55" s="13">
        <v>520</v>
      </c>
      <c r="AH55" s="13">
        <v>520</v>
      </c>
      <c r="AI55" s="13" t="s">
        <v>289</v>
      </c>
      <c r="AJ55" s="13" t="s">
        <v>272</v>
      </c>
      <c r="AK55" s="13" t="s">
        <v>140</v>
      </c>
      <c r="AL55" s="13">
        <v>0</v>
      </c>
      <c r="AM55" s="13">
        <v>1.21</v>
      </c>
      <c r="AN55" s="13">
        <v>1.21</v>
      </c>
      <c r="AO55" s="13">
        <v>10.04</v>
      </c>
      <c r="AP55" s="13">
        <v>38</v>
      </c>
      <c r="AQ55" s="13">
        <v>74</v>
      </c>
      <c r="AR55" s="13">
        <v>356.48</v>
      </c>
      <c r="AS55" s="13">
        <v>25</v>
      </c>
      <c r="AT55" s="13">
        <v>0</v>
      </c>
      <c r="AU55" s="13">
        <v>47</v>
      </c>
      <c r="AV55" s="13">
        <v>10</v>
      </c>
      <c r="AW55" s="13">
        <v>30</v>
      </c>
      <c r="AX55" s="13">
        <v>0</v>
      </c>
      <c r="AY55" s="13">
        <v>74</v>
      </c>
      <c r="AZ55" s="13">
        <v>236</v>
      </c>
      <c r="BA55" s="13">
        <v>25</v>
      </c>
      <c r="BB55" s="13" t="s"/>
      <c r="BC55" s="13" t="s"/>
      <c r="BD55" s="1">
        <f>=IF(IF(BC55&lt;&gt;"",IF(BB55&lt;&gt;"",CEILING(((BB55-BC55)/BB55)*100,1),IF(AND(O55&lt;&gt;"",O55&gt;0),CEILING((((O55-BC55)/O55)*100),1),"")),"")&gt;=0,IF(BC55&lt;&gt;"",IF(BB55&lt;&gt;"",CEILING(((BB55-BC55)/BB55)*100,1),IF(AND(O55&lt;&gt;"",O55&gt;0),CEILING((((O55-BC55)/O55)*100),1),"")),""), "Ошибка: цена до скидки должна быть больше текущей.")</f>
      </c>
      <c r="BE55" s="13" t="s"/>
      <c r="BF55" s="13" t="s"/>
      <c r="BG55" s="13" t="s"/>
      <c r="BH55" s="13" t="s"/>
      <c r="BI55" s="13" t="s"/>
      <c r="BJ55" s="13" t="s"/>
      <c r="BK55" s="13" t="s"/>
    </row>
    <row r="56" ht="20" customHeight="true">
      <c r="A56" s="13" t="s">
        <v>290</v>
      </c>
      <c r="B56" s="13">
        <v>990365348</v>
      </c>
      <c r="C56" s="13" t="s">
        <v>128</v>
      </c>
      <c r="D56" s="13" t="s">
        <v>129</v>
      </c>
      <c r="E56" s="13" t="s">
        <v>130</v>
      </c>
      <c r="F56" s="13">
        <v>867</v>
      </c>
      <c r="G56" s="13">
        <v>0</v>
      </c>
      <c r="H56" s="13">
        <v>2.912</v>
      </c>
      <c r="I56" s="13">
        <v>0.6</v>
      </c>
      <c r="J56" s="13" t="s">
        <v>291</v>
      </c>
      <c r="K56" s="13">
        <v>14056</v>
      </c>
      <c r="L56" s="13">
        <v>2570</v>
      </c>
      <c r="M56" s="13">
        <v>0.54</v>
      </c>
      <c r="N56" s="13">
        <v>14</v>
      </c>
      <c r="O56" s="13">
        <v>1366</v>
      </c>
      <c r="P56" s="13">
        <v>1004</v>
      </c>
      <c r="Q56" s="13">
        <v>27</v>
      </c>
      <c r="R56" s="13">
        <v>362</v>
      </c>
      <c r="S56" s="13">
        <v>1004</v>
      </c>
      <c r="T56" s="13">
        <v>48</v>
      </c>
      <c r="U56" s="13">
        <v>643</v>
      </c>
      <c r="V56" s="13" t="s">
        <v>132</v>
      </c>
      <c r="W56" s="13">
        <v>502</v>
      </c>
      <c r="X56" s="13" t="s">
        <v>133</v>
      </c>
      <c r="Y56" s="13" t="s">
        <v>134</v>
      </c>
      <c r="Z56" s="13" t="s"/>
      <c r="AA56" s="13" t="s">
        <v>165</v>
      </c>
      <c r="AB56" s="13" t="s">
        <v>136</v>
      </c>
      <c r="AC56" s="13" t="s">
        <v>137</v>
      </c>
      <c r="AD56" s="13" t="s">
        <v>138</v>
      </c>
      <c r="AE56" s="13" t="s">
        <v>138</v>
      </c>
      <c r="AF56" s="13">
        <v>244.89</v>
      </c>
      <c r="AG56" s="13">
        <v>520</v>
      </c>
      <c r="AH56" s="13">
        <v>520</v>
      </c>
      <c r="AI56" s="13" t="s">
        <v>272</v>
      </c>
      <c r="AJ56" s="13" t="s">
        <v>272</v>
      </c>
      <c r="AK56" s="13" t="s">
        <v>140</v>
      </c>
      <c r="AL56" s="13">
        <v>1.63</v>
      </c>
      <c r="AM56" s="13">
        <v>1.21</v>
      </c>
      <c r="AN56" s="13">
        <v>1.21</v>
      </c>
      <c r="AO56" s="13">
        <v>10.04</v>
      </c>
      <c r="AP56" s="13">
        <v>38</v>
      </c>
      <c r="AQ56" s="13">
        <v>74</v>
      </c>
      <c r="AR56" s="13">
        <v>356.48</v>
      </c>
      <c r="AS56" s="13">
        <v>25</v>
      </c>
      <c r="AT56" s="13">
        <v>0</v>
      </c>
      <c r="AU56" s="13">
        <v>47</v>
      </c>
      <c r="AV56" s="13">
        <v>10</v>
      </c>
      <c r="AW56" s="13">
        <v>30</v>
      </c>
      <c r="AX56" s="13">
        <v>0</v>
      </c>
      <c r="AY56" s="13">
        <v>74</v>
      </c>
      <c r="AZ56" s="13">
        <v>236</v>
      </c>
      <c r="BA56" s="13">
        <v>25</v>
      </c>
      <c r="BB56" s="13" t="s"/>
      <c r="BC56" s="13" t="s"/>
      <c r="BD56" s="1">
        <f>=IF(IF(BC56&lt;&gt;"",IF(BB56&lt;&gt;"",CEILING(((BB56-BC56)/BB56)*100,1),IF(AND(O56&lt;&gt;"",O56&gt;0),CEILING((((O56-BC56)/O56)*100),1),"")),"")&gt;=0,IF(BC56&lt;&gt;"",IF(BB56&lt;&gt;"",CEILING(((BB56-BC56)/BB56)*100,1),IF(AND(O56&lt;&gt;"",O56&gt;0),CEILING((((O56-BC56)/O56)*100),1),"")),""), "Ошибка: цена до скидки должна быть больше текущей.")</f>
      </c>
      <c r="BE56" s="13" t="s"/>
      <c r="BF56" s="13" t="s"/>
      <c r="BG56" s="13" t="s"/>
      <c r="BH56" s="13" t="s"/>
      <c r="BI56" s="13" t="s"/>
      <c r="BJ56" s="13" t="s"/>
      <c r="BK56" s="13" t="s"/>
    </row>
    <row r="57" ht="20" customHeight="true">
      <c r="A57" s="13" t="s">
        <v>292</v>
      </c>
      <c r="B57" s="13">
        <v>990365349</v>
      </c>
      <c r="C57" s="13" t="s">
        <v>128</v>
      </c>
      <c r="D57" s="13" t="s">
        <v>129</v>
      </c>
      <c r="E57" s="13" t="s">
        <v>130</v>
      </c>
      <c r="F57" s="13">
        <v>1095</v>
      </c>
      <c r="G57" s="13">
        <v>0</v>
      </c>
      <c r="H57" s="13">
        <v>2.912</v>
      </c>
      <c r="I57" s="13">
        <v>0.6</v>
      </c>
      <c r="J57" s="13" t="s">
        <v>293</v>
      </c>
      <c r="K57" s="13">
        <v>12048</v>
      </c>
      <c r="L57" s="13">
        <v>2737</v>
      </c>
      <c r="M57" s="13">
        <v>0.44</v>
      </c>
      <c r="N57" s="13">
        <v>12</v>
      </c>
      <c r="O57" s="13">
        <v>1366</v>
      </c>
      <c r="P57" s="13">
        <v>1004</v>
      </c>
      <c r="Q57" s="13">
        <v>27</v>
      </c>
      <c r="R57" s="13">
        <v>362</v>
      </c>
      <c r="S57" s="13">
        <v>1004</v>
      </c>
      <c r="T57" s="13">
        <v>48</v>
      </c>
      <c r="U57" s="13">
        <v>643</v>
      </c>
      <c r="V57" s="13" t="s">
        <v>132</v>
      </c>
      <c r="W57" s="13">
        <v>502</v>
      </c>
      <c r="X57" s="13" t="s">
        <v>133</v>
      </c>
      <c r="Y57" s="13" t="s">
        <v>134</v>
      </c>
      <c r="Z57" s="13" t="s"/>
      <c r="AA57" s="13" t="s">
        <v>162</v>
      </c>
      <c r="AB57" s="13" t="s">
        <v>136</v>
      </c>
      <c r="AC57" s="13" t="s">
        <v>137</v>
      </c>
      <c r="AD57" s="13" t="s">
        <v>138</v>
      </c>
      <c r="AE57" s="13" t="s">
        <v>138</v>
      </c>
      <c r="AF57" s="13">
        <v>0</v>
      </c>
      <c r="AG57" s="13">
        <v>520</v>
      </c>
      <c r="AH57" s="13">
        <v>520</v>
      </c>
      <c r="AI57" s="13" t="s">
        <v>272</v>
      </c>
      <c r="AJ57" s="13" t="s">
        <v>272</v>
      </c>
      <c r="AK57" s="13" t="s">
        <v>140</v>
      </c>
      <c r="AL57" s="13">
        <v>0</v>
      </c>
      <c r="AM57" s="13">
        <v>1.21</v>
      </c>
      <c r="AN57" s="13">
        <v>1.21</v>
      </c>
      <c r="AO57" s="13">
        <v>10.04</v>
      </c>
      <c r="AP57" s="13">
        <v>38</v>
      </c>
      <c r="AQ57" s="13">
        <v>74</v>
      </c>
      <c r="AR57" s="13">
        <v>356.48</v>
      </c>
      <c r="AS57" s="13">
        <v>25</v>
      </c>
      <c r="AT57" s="13">
        <v>0</v>
      </c>
      <c r="AU57" s="13">
        <v>47</v>
      </c>
      <c r="AV57" s="13">
        <v>10</v>
      </c>
      <c r="AW57" s="13">
        <v>30</v>
      </c>
      <c r="AX57" s="13">
        <v>0</v>
      </c>
      <c r="AY57" s="13">
        <v>74</v>
      </c>
      <c r="AZ57" s="13">
        <v>236</v>
      </c>
      <c r="BA57" s="13">
        <v>25</v>
      </c>
      <c r="BB57" s="13" t="s"/>
      <c r="BC57" s="13" t="s"/>
      <c r="BD57" s="1">
        <f>=IF(IF(BC57&lt;&gt;"",IF(BB57&lt;&gt;"",CEILING(((BB57-BC57)/BB57)*100,1),IF(AND(O57&lt;&gt;"",O57&gt;0),CEILING((((O57-BC57)/O57)*100),1),"")),"")&gt;=0,IF(BC57&lt;&gt;"",IF(BB57&lt;&gt;"",CEILING(((BB57-BC57)/BB57)*100,1),IF(AND(O57&lt;&gt;"",O57&gt;0),CEILING((((O57-BC57)/O57)*100),1),"")),""), "Ошибка: цена до скидки должна быть больше текущей.")</f>
      </c>
      <c r="BE57" s="13" t="s"/>
      <c r="BF57" s="13" t="s"/>
      <c r="BG57" s="13" t="s"/>
      <c r="BH57" s="13" t="s"/>
      <c r="BI57" s="13" t="s"/>
      <c r="BJ57" s="13" t="s"/>
      <c r="BK57" s="13" t="s"/>
    </row>
    <row r="58" ht="20" customHeight="true">
      <c r="A58" s="13" t="s">
        <v>294</v>
      </c>
      <c r="B58" s="13">
        <v>990365327</v>
      </c>
      <c r="C58" s="13" t="s">
        <v>128</v>
      </c>
      <c r="D58" s="13" t="s">
        <v>129</v>
      </c>
      <c r="E58" s="13" t="s">
        <v>130</v>
      </c>
      <c r="F58" s="13">
        <v>186</v>
      </c>
      <c r="G58" s="13">
        <v>0</v>
      </c>
      <c r="H58" s="13">
        <v>2.912</v>
      </c>
      <c r="I58" s="13">
        <v>0.6</v>
      </c>
      <c r="J58" s="13" t="s">
        <v>295</v>
      </c>
      <c r="K58" s="13">
        <v>1004</v>
      </c>
      <c r="L58" s="13">
        <v>581</v>
      </c>
      <c r="M58" s="13">
        <v>0.17</v>
      </c>
      <c r="N58" s="13">
        <v>1</v>
      </c>
      <c r="O58" s="13">
        <v>1366</v>
      </c>
      <c r="P58" s="13">
        <v>1004</v>
      </c>
      <c r="Q58" s="13">
        <v>27</v>
      </c>
      <c r="R58" s="13">
        <v>362</v>
      </c>
      <c r="S58" s="13">
        <v>1004</v>
      </c>
      <c r="T58" s="13">
        <v>48</v>
      </c>
      <c r="U58" s="13">
        <v>651</v>
      </c>
      <c r="V58" s="13" t="s">
        <v>132</v>
      </c>
      <c r="W58" s="13">
        <v>502</v>
      </c>
      <c r="X58" s="13" t="s">
        <v>133</v>
      </c>
      <c r="Y58" s="13" t="s">
        <v>134</v>
      </c>
      <c r="Z58" s="13" t="s"/>
      <c r="AA58" s="13" t="s">
        <v>296</v>
      </c>
      <c r="AB58" s="13" t="s">
        <v>172</v>
      </c>
      <c r="AC58" s="13" t="s">
        <v>173</v>
      </c>
      <c r="AD58" s="13" t="s">
        <v>138</v>
      </c>
      <c r="AE58" s="13" t="s">
        <v>138</v>
      </c>
      <c r="AF58" s="13">
        <v>0</v>
      </c>
      <c r="AG58" s="13">
        <v>520</v>
      </c>
      <c r="AH58" s="13">
        <v>520</v>
      </c>
      <c r="AI58" s="13" t="s">
        <v>297</v>
      </c>
      <c r="AJ58" s="13" t="s">
        <v>297</v>
      </c>
      <c r="AK58" s="13" t="s">
        <v>140</v>
      </c>
      <c r="AL58" s="13">
        <v>0</v>
      </c>
      <c r="AM58" s="13">
        <v>1.21</v>
      </c>
      <c r="AN58" s="13">
        <v>1.21</v>
      </c>
      <c r="AO58" s="13">
        <v>10.04</v>
      </c>
      <c r="AP58" s="13">
        <v>38</v>
      </c>
      <c r="AQ58" s="13">
        <v>74</v>
      </c>
      <c r="AR58" s="13">
        <v>356.48</v>
      </c>
      <c r="AS58" s="13">
        <v>25</v>
      </c>
      <c r="AT58" s="13">
        <v>0</v>
      </c>
      <c r="AU58" s="13">
        <v>47</v>
      </c>
      <c r="AV58" s="13">
        <v>10</v>
      </c>
      <c r="AW58" s="13">
        <v>30</v>
      </c>
      <c r="AX58" s="13">
        <v>0</v>
      </c>
      <c r="AY58" s="13">
        <v>74</v>
      </c>
      <c r="AZ58" s="13">
        <v>236</v>
      </c>
      <c r="BA58" s="13">
        <v>25</v>
      </c>
      <c r="BB58" s="13" t="s"/>
      <c r="BC58" s="13" t="s"/>
      <c r="BD58" s="1">
        <f>=IF(IF(BC58&lt;&gt;"",IF(BB58&lt;&gt;"",CEILING(((BB58-BC58)/BB58)*100,1),IF(AND(O58&lt;&gt;"",O58&gt;0),CEILING((((O58-BC58)/O58)*100),1),"")),"")&gt;=0,IF(BC58&lt;&gt;"",IF(BB58&lt;&gt;"",CEILING(((BB58-BC58)/BB58)*100,1),IF(AND(O58&lt;&gt;"",O58&gt;0),CEILING((((O58-BC58)/O58)*100),1),"")),""), "Ошибка: цена до скидки должна быть больше текущей.")</f>
      </c>
      <c r="BE58" s="13" t="s"/>
      <c r="BF58" s="13" t="s"/>
      <c r="BG58" s="13" t="s"/>
      <c r="BH58" s="13" t="s"/>
      <c r="BI58" s="13" t="s"/>
      <c r="BJ58" s="13" t="s"/>
      <c r="BK58" s="13" t="s"/>
    </row>
    <row r="59" ht="20" customHeight="true">
      <c r="A59" s="13" t="s">
        <v>298</v>
      </c>
      <c r="B59" s="13">
        <v>990365538</v>
      </c>
      <c r="C59" s="13" t="s">
        <v>128</v>
      </c>
      <c r="D59" s="13" t="s">
        <v>129</v>
      </c>
      <c r="E59" s="13" t="s">
        <v>130</v>
      </c>
      <c r="F59" s="13">
        <v>645</v>
      </c>
      <c r="G59" s="13">
        <v>0</v>
      </c>
      <c r="H59" s="13">
        <v>2.974752</v>
      </c>
      <c r="I59" s="13">
        <v>0.6</v>
      </c>
      <c r="J59" s="13" t="s">
        <v>299</v>
      </c>
      <c r="K59" s="13">
        <v>6024</v>
      </c>
      <c r="L59" s="13">
        <v>1180</v>
      </c>
      <c r="M59" s="13">
        <v>0.51</v>
      </c>
      <c r="N59" s="13">
        <v>6</v>
      </c>
      <c r="O59" s="13">
        <v>1366</v>
      </c>
      <c r="P59" s="13">
        <v>1004</v>
      </c>
      <c r="Q59" s="13">
        <v>27</v>
      </c>
      <c r="R59" s="13">
        <v>362</v>
      </c>
      <c r="S59" s="13">
        <v>1004</v>
      </c>
      <c r="T59" s="13">
        <v>47</v>
      </c>
      <c r="U59" s="13">
        <v>638</v>
      </c>
      <c r="V59" s="13" t="s">
        <v>132</v>
      </c>
      <c r="W59" s="13">
        <v>502</v>
      </c>
      <c r="X59" s="13" t="s">
        <v>133</v>
      </c>
      <c r="Y59" s="13" t="s">
        <v>134</v>
      </c>
      <c r="Z59" s="13" t="s"/>
      <c r="AA59" s="13" t="s">
        <v>300</v>
      </c>
      <c r="AB59" s="13" t="s">
        <v>180</v>
      </c>
      <c r="AC59" s="13" t="s">
        <v>181</v>
      </c>
      <c r="AD59" s="13" t="s">
        <v>138</v>
      </c>
      <c r="AE59" s="13" t="s">
        <v>138</v>
      </c>
      <c r="AF59" s="13">
        <v>0</v>
      </c>
      <c r="AG59" s="13">
        <v>520</v>
      </c>
      <c r="AH59" s="13">
        <v>520</v>
      </c>
      <c r="AI59" s="13" t="s">
        <v>297</v>
      </c>
      <c r="AJ59" s="13" t="s">
        <v>297</v>
      </c>
      <c r="AK59" s="13" t="s">
        <v>140</v>
      </c>
      <c r="AL59" s="13">
        <v>0</v>
      </c>
      <c r="AM59" s="13">
        <v>1.22</v>
      </c>
      <c r="AN59" s="13">
        <v>1.22</v>
      </c>
      <c r="AO59" s="13">
        <v>10.04</v>
      </c>
      <c r="AP59" s="13">
        <v>38</v>
      </c>
      <c r="AQ59" s="13">
        <v>74</v>
      </c>
      <c r="AR59" s="13">
        <v>356.48</v>
      </c>
      <c r="AS59" s="13">
        <v>25</v>
      </c>
      <c r="AT59" s="13">
        <v>0</v>
      </c>
      <c r="AU59" s="13">
        <v>47</v>
      </c>
      <c r="AV59" s="13">
        <v>10</v>
      </c>
      <c r="AW59" s="13">
        <v>30</v>
      </c>
      <c r="AX59" s="13">
        <v>0</v>
      </c>
      <c r="AY59" s="13">
        <v>74</v>
      </c>
      <c r="AZ59" s="13">
        <v>236</v>
      </c>
      <c r="BA59" s="13">
        <v>25</v>
      </c>
      <c r="BB59" s="13" t="s"/>
      <c r="BC59" s="13" t="s"/>
      <c r="BD59" s="1">
        <f>=IF(IF(BC59&lt;&gt;"",IF(BB59&lt;&gt;"",CEILING(((BB59-BC59)/BB59)*100,1),IF(AND(O59&lt;&gt;"",O59&gt;0),CEILING((((O59-BC59)/O59)*100),1),"")),"")&gt;=0,IF(BC59&lt;&gt;"",IF(BB59&lt;&gt;"",CEILING(((BB59-BC59)/BB59)*100,1),IF(AND(O59&lt;&gt;"",O59&gt;0),CEILING((((O59-BC59)/O59)*100),1),"")),""), "Ошибка: цена до скидки должна быть больше текущей.")</f>
      </c>
      <c r="BE59" s="13" t="s"/>
      <c r="BF59" s="13" t="s"/>
      <c r="BG59" s="13" t="s"/>
      <c r="BH59" s="13" t="s"/>
      <c r="BI59" s="13" t="s"/>
      <c r="BJ59" s="13" t="s"/>
      <c r="BK59" s="13" t="s"/>
    </row>
    <row r="60" ht="20" customHeight="true">
      <c r="A60" s="13" t="s">
        <v>301</v>
      </c>
      <c r="B60" s="13">
        <v>990365331</v>
      </c>
      <c r="C60" s="13" t="s">
        <v>128</v>
      </c>
      <c r="D60" s="13" t="s">
        <v>129</v>
      </c>
      <c r="E60" s="13" t="s">
        <v>130</v>
      </c>
      <c r="F60" s="13">
        <v>333</v>
      </c>
      <c r="G60" s="13">
        <v>0</v>
      </c>
      <c r="H60" s="13">
        <v>4.79685</v>
      </c>
      <c r="I60" s="13">
        <v>1</v>
      </c>
      <c r="J60" s="13" t="s">
        <v>302</v>
      </c>
      <c r="K60" s="13">
        <v>4016</v>
      </c>
      <c r="L60" s="13">
        <v>1129</v>
      </c>
      <c r="M60" s="13">
        <v>0.35</v>
      </c>
      <c r="N60" s="13">
        <v>4</v>
      </c>
      <c r="O60" s="13">
        <v>1366</v>
      </c>
      <c r="P60" s="13">
        <v>1004</v>
      </c>
      <c r="Q60" s="13">
        <v>27</v>
      </c>
      <c r="R60" s="13">
        <v>362</v>
      </c>
      <c r="S60" s="13">
        <v>1004</v>
      </c>
      <c r="T60" s="13">
        <v>48</v>
      </c>
      <c r="U60" s="13">
        <v>655</v>
      </c>
      <c r="V60" s="13" t="s">
        <v>132</v>
      </c>
      <c r="W60" s="13">
        <v>502</v>
      </c>
      <c r="X60" s="13" t="s">
        <v>133</v>
      </c>
      <c r="Y60" s="13" t="s">
        <v>134</v>
      </c>
      <c r="Z60" s="13" t="s"/>
      <c r="AA60" s="13" t="s">
        <v>303</v>
      </c>
      <c r="AB60" s="13" t="s">
        <v>187</v>
      </c>
      <c r="AC60" s="13" t="s">
        <v>188</v>
      </c>
      <c r="AD60" s="13" t="s">
        <v>138</v>
      </c>
      <c r="AE60" s="13" t="s">
        <v>138</v>
      </c>
      <c r="AF60" s="13">
        <v>0</v>
      </c>
      <c r="AG60" s="13">
        <v>520</v>
      </c>
      <c r="AH60" s="13">
        <v>520</v>
      </c>
      <c r="AI60" s="13" t="s">
        <v>297</v>
      </c>
      <c r="AJ60" s="13" t="s">
        <v>297</v>
      </c>
      <c r="AK60" s="13" t="s">
        <v>140</v>
      </c>
      <c r="AL60" s="13">
        <v>0</v>
      </c>
      <c r="AM60" s="13">
        <v>1.2</v>
      </c>
      <c r="AN60" s="13">
        <v>1.2</v>
      </c>
      <c r="AO60" s="13">
        <v>10.04</v>
      </c>
      <c r="AP60" s="13">
        <v>38</v>
      </c>
      <c r="AQ60" s="13">
        <v>89</v>
      </c>
      <c r="AR60" s="13">
        <v>497.48</v>
      </c>
      <c r="AS60" s="13">
        <v>25</v>
      </c>
      <c r="AT60" s="13">
        <v>0</v>
      </c>
      <c r="AU60" s="13">
        <v>47</v>
      </c>
      <c r="AV60" s="13">
        <v>10</v>
      </c>
      <c r="AW60" s="13">
        <v>30</v>
      </c>
      <c r="AX60" s="13">
        <v>0</v>
      </c>
      <c r="AY60" s="13">
        <v>89</v>
      </c>
      <c r="AZ60" s="13">
        <v>377</v>
      </c>
      <c r="BA60" s="13">
        <v>25</v>
      </c>
      <c r="BB60" s="13" t="s"/>
      <c r="BC60" s="13" t="s"/>
      <c r="BD60" s="1">
        <f>=IF(IF(BC60&lt;&gt;"",IF(BB60&lt;&gt;"",CEILING(((BB60-BC60)/BB60)*100,1),IF(AND(O60&lt;&gt;"",O60&gt;0),CEILING((((O60-BC60)/O60)*100),1),"")),"")&gt;=0,IF(BC60&lt;&gt;"",IF(BB60&lt;&gt;"",CEILING(((BB60-BC60)/BB60)*100,1),IF(AND(O60&lt;&gt;"",O60&gt;0),CEILING((((O60-BC60)/O60)*100),1),"")),""), "Ошибка: цена до скидки должна быть больше текущей.")</f>
      </c>
      <c r="BE60" s="13" t="s"/>
      <c r="BF60" s="13" t="s"/>
      <c r="BG60" s="13" t="s"/>
      <c r="BH60" s="13" t="s"/>
      <c r="BI60" s="13" t="s"/>
      <c r="BJ60" s="13" t="s"/>
      <c r="BK60" s="13" t="s"/>
    </row>
    <row r="61" ht="20" customHeight="true">
      <c r="A61" s="13" t="s">
        <v>304</v>
      </c>
      <c r="B61" s="13">
        <v>990365521</v>
      </c>
      <c r="C61" s="13" t="s">
        <v>128</v>
      </c>
      <c r="D61" s="13" t="s">
        <v>129</v>
      </c>
      <c r="E61" s="13" t="s">
        <v>130</v>
      </c>
      <c r="F61" s="13">
        <v>413</v>
      </c>
      <c r="G61" s="13">
        <v>0</v>
      </c>
      <c r="H61" s="13">
        <v>2.912</v>
      </c>
      <c r="I61" s="13">
        <v>0.6</v>
      </c>
      <c r="J61" s="13" t="s">
        <v>305</v>
      </c>
      <c r="K61" s="13">
        <v>5020</v>
      </c>
      <c r="L61" s="13">
        <v>1279</v>
      </c>
      <c r="M61" s="13">
        <v>0.39</v>
      </c>
      <c r="N61" s="13">
        <v>5</v>
      </c>
      <c r="O61" s="13">
        <v>1366</v>
      </c>
      <c r="P61" s="13">
        <v>1004</v>
      </c>
      <c r="Q61" s="13">
        <v>27</v>
      </c>
      <c r="R61" s="13">
        <v>362</v>
      </c>
      <c r="S61" s="13">
        <v>1004</v>
      </c>
      <c r="T61" s="13">
        <v>48</v>
      </c>
      <c r="U61" s="13">
        <v>643</v>
      </c>
      <c r="V61" s="13" t="s">
        <v>132</v>
      </c>
      <c r="W61" s="13">
        <v>502</v>
      </c>
      <c r="X61" s="13" t="s">
        <v>133</v>
      </c>
      <c r="Y61" s="13" t="s">
        <v>134</v>
      </c>
      <c r="Z61" s="13" t="s"/>
      <c r="AA61" s="13" t="s">
        <v>306</v>
      </c>
      <c r="AB61" s="13" t="s">
        <v>187</v>
      </c>
      <c r="AC61" s="13" t="s">
        <v>188</v>
      </c>
      <c r="AD61" s="13" t="s">
        <v>138</v>
      </c>
      <c r="AE61" s="13" t="s">
        <v>138</v>
      </c>
      <c r="AF61" s="13">
        <v>0</v>
      </c>
      <c r="AG61" s="13">
        <v>520</v>
      </c>
      <c r="AH61" s="13">
        <v>520</v>
      </c>
      <c r="AI61" s="13" t="s">
        <v>297</v>
      </c>
      <c r="AJ61" s="13" t="s">
        <v>297</v>
      </c>
      <c r="AK61" s="13" t="s">
        <v>140</v>
      </c>
      <c r="AL61" s="13">
        <v>0</v>
      </c>
      <c r="AM61" s="13">
        <v>1.21</v>
      </c>
      <c r="AN61" s="13">
        <v>1.21</v>
      </c>
      <c r="AO61" s="13">
        <v>10.04</v>
      </c>
      <c r="AP61" s="13">
        <v>38</v>
      </c>
      <c r="AQ61" s="13">
        <v>74</v>
      </c>
      <c r="AR61" s="13">
        <v>356.48</v>
      </c>
      <c r="AS61" s="13">
        <v>25</v>
      </c>
      <c r="AT61" s="13">
        <v>0</v>
      </c>
      <c r="AU61" s="13">
        <v>47</v>
      </c>
      <c r="AV61" s="13">
        <v>10</v>
      </c>
      <c r="AW61" s="13">
        <v>30</v>
      </c>
      <c r="AX61" s="13">
        <v>0</v>
      </c>
      <c r="AY61" s="13">
        <v>74</v>
      </c>
      <c r="AZ61" s="13">
        <v>236</v>
      </c>
      <c r="BA61" s="13">
        <v>25</v>
      </c>
      <c r="BB61" s="13" t="s"/>
      <c r="BC61" s="13" t="s"/>
      <c r="BD61" s="1">
        <f>=IF(IF(BC61&lt;&gt;"",IF(BB61&lt;&gt;"",CEILING(((BB61-BC61)/BB61)*100,1),IF(AND(O61&lt;&gt;"",O61&gt;0),CEILING((((O61-BC61)/O61)*100),1),"")),"")&gt;=0,IF(BC61&lt;&gt;"",IF(BB61&lt;&gt;"",CEILING(((BB61-BC61)/BB61)*100,1),IF(AND(O61&lt;&gt;"",O61&gt;0),CEILING((((O61-BC61)/O61)*100),1),"")),""), "Ошибка: цена до скидки должна быть больше текущей.")</f>
      </c>
      <c r="BE61" s="13" t="s"/>
      <c r="BF61" s="13" t="s"/>
      <c r="BG61" s="13" t="s"/>
      <c r="BH61" s="13" t="s"/>
      <c r="BI61" s="13" t="s"/>
      <c r="BJ61" s="13" t="s"/>
      <c r="BK61" s="13" t="s"/>
    </row>
    <row r="62" ht="20" customHeight="true">
      <c r="A62" s="13" t="s">
        <v>307</v>
      </c>
      <c r="B62" s="13">
        <v>990365450</v>
      </c>
      <c r="C62" s="13" t="s">
        <v>128</v>
      </c>
      <c r="D62" s="13" t="s">
        <v>129</v>
      </c>
      <c r="E62" s="13" t="s">
        <v>130</v>
      </c>
      <c r="F62" s="13">
        <v>492</v>
      </c>
      <c r="G62" s="13">
        <v>0</v>
      </c>
      <c r="H62" s="13">
        <v>2.912</v>
      </c>
      <c r="I62" s="13">
        <v>0.6</v>
      </c>
      <c r="J62" s="13" t="s">
        <v>308</v>
      </c>
      <c r="K62" s="13">
        <v>4016</v>
      </c>
      <c r="L62" s="13">
        <v>1075</v>
      </c>
      <c r="M62" s="13">
        <v>0.37</v>
      </c>
      <c r="N62" s="13">
        <v>4</v>
      </c>
      <c r="O62" s="13">
        <v>1366</v>
      </c>
      <c r="P62" s="13">
        <v>1004</v>
      </c>
      <c r="Q62" s="13">
        <v>27</v>
      </c>
      <c r="R62" s="13">
        <v>362</v>
      </c>
      <c r="S62" s="13">
        <v>1004</v>
      </c>
      <c r="T62" s="13">
        <v>48</v>
      </c>
      <c r="U62" s="13">
        <v>651</v>
      </c>
      <c r="V62" s="13" t="s">
        <v>132</v>
      </c>
      <c r="W62" s="13">
        <v>502</v>
      </c>
      <c r="X62" s="13" t="s">
        <v>133</v>
      </c>
      <c r="Y62" s="13" t="s">
        <v>134</v>
      </c>
      <c r="Z62" s="13" t="s"/>
      <c r="AA62" s="13" t="s">
        <v>309</v>
      </c>
      <c r="AB62" s="13" t="s">
        <v>154</v>
      </c>
      <c r="AC62" s="13" t="s">
        <v>155</v>
      </c>
      <c r="AD62" s="13" t="s">
        <v>138</v>
      </c>
      <c r="AE62" s="13" t="s">
        <v>138</v>
      </c>
      <c r="AF62" s="13">
        <v>0</v>
      </c>
      <c r="AG62" s="13">
        <v>520</v>
      </c>
      <c r="AH62" s="13">
        <v>520</v>
      </c>
      <c r="AI62" s="13" t="s">
        <v>310</v>
      </c>
      <c r="AJ62" s="13" t="s">
        <v>310</v>
      </c>
      <c r="AK62" s="13" t="s">
        <v>140</v>
      </c>
      <c r="AL62" s="13">
        <v>0</v>
      </c>
      <c r="AM62" s="13">
        <v>1.21</v>
      </c>
      <c r="AN62" s="13">
        <v>1.21</v>
      </c>
      <c r="AO62" s="13">
        <v>10.04</v>
      </c>
      <c r="AP62" s="13">
        <v>38</v>
      </c>
      <c r="AQ62" s="13">
        <v>74</v>
      </c>
      <c r="AR62" s="13">
        <v>356.48</v>
      </c>
      <c r="AS62" s="13">
        <v>25</v>
      </c>
      <c r="AT62" s="13">
        <v>0</v>
      </c>
      <c r="AU62" s="13">
        <v>47</v>
      </c>
      <c r="AV62" s="13">
        <v>10</v>
      </c>
      <c r="AW62" s="13">
        <v>30</v>
      </c>
      <c r="AX62" s="13">
        <v>0</v>
      </c>
      <c r="AY62" s="13">
        <v>74</v>
      </c>
      <c r="AZ62" s="13">
        <v>236</v>
      </c>
      <c r="BA62" s="13">
        <v>25</v>
      </c>
      <c r="BB62" s="13" t="s"/>
      <c r="BC62" s="13" t="s"/>
      <c r="BD62" s="1">
        <f>=IF(IF(BC62&lt;&gt;"",IF(BB62&lt;&gt;"",CEILING(((BB62-BC62)/BB62)*100,1),IF(AND(O62&lt;&gt;"",O62&gt;0),CEILING((((O62-BC62)/O62)*100),1),"")),"")&gt;=0,IF(BC62&lt;&gt;"",IF(BB62&lt;&gt;"",CEILING(((BB62-BC62)/BB62)*100,1),IF(AND(O62&lt;&gt;"",O62&gt;0),CEILING((((O62-BC62)/O62)*100),1),"")),""), "Ошибка: цена до скидки должна быть больше текущей.")</f>
      </c>
      <c r="BE62" s="13" t="s"/>
      <c r="BF62" s="13" t="s"/>
      <c r="BG62" s="13" t="s"/>
      <c r="BH62" s="13" t="s"/>
      <c r="BI62" s="13" t="s"/>
      <c r="BJ62" s="13" t="s"/>
      <c r="BK62" s="13" t="s"/>
    </row>
    <row r="63" ht="20" customHeight="true">
      <c r="A63" s="13" t="s">
        <v>311</v>
      </c>
      <c r="B63" s="13">
        <v>990365557</v>
      </c>
      <c r="C63" s="13" t="s">
        <v>128</v>
      </c>
      <c r="D63" s="13" t="s">
        <v>129</v>
      </c>
      <c r="E63" s="13" t="s">
        <v>130</v>
      </c>
      <c r="F63" s="13">
        <v>775</v>
      </c>
      <c r="G63" s="13">
        <v>0</v>
      </c>
      <c r="H63" s="13">
        <v>2.912</v>
      </c>
      <c r="I63" s="13">
        <v>0.6</v>
      </c>
      <c r="J63" s="13" t="s">
        <v>312</v>
      </c>
      <c r="K63" s="13">
        <v>10040</v>
      </c>
      <c r="L63" s="13">
        <v>1955</v>
      </c>
      <c r="M63" s="13">
        <v>0.51</v>
      </c>
      <c r="N63" s="13">
        <v>10</v>
      </c>
      <c r="O63" s="13">
        <v>1366</v>
      </c>
      <c r="P63" s="13">
        <v>1004</v>
      </c>
      <c r="Q63" s="13">
        <v>27</v>
      </c>
      <c r="R63" s="13">
        <v>362</v>
      </c>
      <c r="S63" s="13">
        <v>1004</v>
      </c>
      <c r="T63" s="13">
        <v>48</v>
      </c>
      <c r="U63" s="13">
        <v>651</v>
      </c>
      <c r="V63" s="13" t="s">
        <v>132</v>
      </c>
      <c r="W63" s="13">
        <v>502</v>
      </c>
      <c r="X63" s="13" t="s">
        <v>133</v>
      </c>
      <c r="Y63" s="13" t="s">
        <v>134</v>
      </c>
      <c r="Z63" s="13" t="s"/>
      <c r="AA63" s="13" t="s">
        <v>165</v>
      </c>
      <c r="AB63" s="13" t="s">
        <v>136</v>
      </c>
      <c r="AC63" s="13" t="s">
        <v>137</v>
      </c>
      <c r="AD63" s="13" t="s">
        <v>138</v>
      </c>
      <c r="AE63" s="13" t="s">
        <v>138</v>
      </c>
      <c r="AF63" s="13">
        <v>0</v>
      </c>
      <c r="AG63" s="13">
        <v>520</v>
      </c>
      <c r="AH63" s="13">
        <v>520</v>
      </c>
      <c r="AI63" s="13" t="s">
        <v>310</v>
      </c>
      <c r="AJ63" s="13" t="s">
        <v>310</v>
      </c>
      <c r="AK63" s="13" t="s">
        <v>140</v>
      </c>
      <c r="AL63" s="13">
        <v>0</v>
      </c>
      <c r="AM63" s="13">
        <v>1.21</v>
      </c>
      <c r="AN63" s="13">
        <v>1.21</v>
      </c>
      <c r="AO63" s="13">
        <v>10.04</v>
      </c>
      <c r="AP63" s="13">
        <v>38</v>
      </c>
      <c r="AQ63" s="13">
        <v>74</v>
      </c>
      <c r="AR63" s="13">
        <v>356.48</v>
      </c>
      <c r="AS63" s="13">
        <v>25</v>
      </c>
      <c r="AT63" s="13">
        <v>0</v>
      </c>
      <c r="AU63" s="13">
        <v>47</v>
      </c>
      <c r="AV63" s="13">
        <v>10</v>
      </c>
      <c r="AW63" s="13">
        <v>30</v>
      </c>
      <c r="AX63" s="13">
        <v>0</v>
      </c>
      <c r="AY63" s="13">
        <v>74</v>
      </c>
      <c r="AZ63" s="13">
        <v>236</v>
      </c>
      <c r="BA63" s="13">
        <v>25</v>
      </c>
      <c r="BB63" s="13" t="s"/>
      <c r="BC63" s="13" t="s"/>
      <c r="BD63" s="1">
        <f>=IF(IF(BC63&lt;&gt;"",IF(BB63&lt;&gt;"",CEILING(((BB63-BC63)/BB63)*100,1),IF(AND(O63&lt;&gt;"",O63&gt;0),CEILING((((O63-BC63)/O63)*100),1),"")),"")&gt;=0,IF(BC63&lt;&gt;"",IF(BB63&lt;&gt;"",CEILING(((BB63-BC63)/BB63)*100,1),IF(AND(O63&lt;&gt;"",O63&gt;0),CEILING((((O63-BC63)/O63)*100),1),"")),""), "Ошибка: цена до скидки должна быть больше текущей.")</f>
      </c>
      <c r="BE63" s="13" t="s"/>
      <c r="BF63" s="13" t="s"/>
      <c r="BG63" s="13" t="s"/>
      <c r="BH63" s="13" t="s"/>
      <c r="BI63" s="13" t="s"/>
      <c r="BJ63" s="13" t="s"/>
      <c r="BK63" s="13" t="s"/>
    </row>
    <row r="64" ht="20" customHeight="true">
      <c r="A64" s="13" t="s">
        <v>313</v>
      </c>
      <c r="B64" s="13">
        <v>990365523</v>
      </c>
      <c r="C64" s="13" t="s">
        <v>128</v>
      </c>
      <c r="D64" s="13" t="s">
        <v>129</v>
      </c>
      <c r="E64" s="13" t="s">
        <v>130</v>
      </c>
      <c r="F64" s="13">
        <v>859</v>
      </c>
      <c r="G64" s="13">
        <v>0</v>
      </c>
      <c r="H64" s="13">
        <v>1.782</v>
      </c>
      <c r="I64" s="13">
        <v>0.4</v>
      </c>
      <c r="J64" s="13" t="s">
        <v>314</v>
      </c>
      <c r="K64" s="13">
        <v>8032</v>
      </c>
      <c r="L64" s="13">
        <v>2445</v>
      </c>
      <c r="M64" s="13">
        <v>0.33</v>
      </c>
      <c r="N64" s="13">
        <v>8</v>
      </c>
      <c r="O64" s="13">
        <v>1366</v>
      </c>
      <c r="P64" s="13">
        <v>1004</v>
      </c>
      <c r="Q64" s="13">
        <v>27</v>
      </c>
      <c r="R64" s="13">
        <v>362</v>
      </c>
      <c r="S64" s="13">
        <v>1004</v>
      </c>
      <c r="T64" s="13">
        <v>48</v>
      </c>
      <c r="U64" s="13">
        <v>647</v>
      </c>
      <c r="V64" s="13" t="s">
        <v>132</v>
      </c>
      <c r="W64" s="13">
        <v>502</v>
      </c>
      <c r="X64" s="13" t="s">
        <v>133</v>
      </c>
      <c r="Y64" s="13" t="s">
        <v>134</v>
      </c>
      <c r="Z64" s="13" t="s"/>
      <c r="AA64" s="13" t="s">
        <v>261</v>
      </c>
      <c r="AB64" s="13" t="s">
        <v>136</v>
      </c>
      <c r="AC64" s="13" t="s">
        <v>137</v>
      </c>
      <c r="AD64" s="13" t="s">
        <v>138</v>
      </c>
      <c r="AE64" s="13" t="s">
        <v>138</v>
      </c>
      <c r="AF64" s="13">
        <v>0</v>
      </c>
      <c r="AG64" s="13">
        <v>520</v>
      </c>
      <c r="AH64" s="13">
        <v>520</v>
      </c>
      <c r="AI64" s="13" t="s">
        <v>310</v>
      </c>
      <c r="AJ64" s="13" t="s">
        <v>310</v>
      </c>
      <c r="AK64" s="13" t="s">
        <v>140</v>
      </c>
      <c r="AL64" s="13">
        <v>0</v>
      </c>
      <c r="AM64" s="13">
        <v>1.21</v>
      </c>
      <c r="AN64" s="13">
        <v>1.21</v>
      </c>
      <c r="AO64" s="13">
        <v>10.04</v>
      </c>
      <c r="AP64" s="13">
        <v>38</v>
      </c>
      <c r="AQ64" s="13">
        <v>74</v>
      </c>
      <c r="AR64" s="13">
        <v>338.48</v>
      </c>
      <c r="AS64" s="13">
        <v>25</v>
      </c>
      <c r="AT64" s="13">
        <v>0</v>
      </c>
      <c r="AU64" s="13">
        <v>47</v>
      </c>
      <c r="AV64" s="13">
        <v>10</v>
      </c>
      <c r="AW64" s="13">
        <v>30</v>
      </c>
      <c r="AX64" s="13">
        <v>0</v>
      </c>
      <c r="AY64" s="13">
        <v>74</v>
      </c>
      <c r="AZ64" s="13">
        <v>218</v>
      </c>
      <c r="BA64" s="13">
        <v>25</v>
      </c>
      <c r="BB64" s="13" t="s"/>
      <c r="BC64" s="13" t="s"/>
      <c r="BD64" s="1">
        <f>=IF(IF(BC64&lt;&gt;"",IF(BB64&lt;&gt;"",CEILING(((BB64-BC64)/BB64)*100,1),IF(AND(O64&lt;&gt;"",O64&gt;0),CEILING((((O64-BC64)/O64)*100),1),"")),"")&gt;=0,IF(BC64&lt;&gt;"",IF(BB64&lt;&gt;"",CEILING(((BB64-BC64)/BB64)*100,1),IF(AND(O64&lt;&gt;"",O64&gt;0),CEILING((((O64-BC64)/O64)*100),1),"")),""), "Ошибка: цена до скидки должна быть больше текущей.")</f>
      </c>
      <c r="BE64" s="13" t="s"/>
      <c r="BF64" s="13" t="s"/>
      <c r="BG64" s="13" t="s"/>
      <c r="BH64" s="13" t="s"/>
      <c r="BI64" s="13" t="s"/>
      <c r="BJ64" s="13" t="s"/>
      <c r="BK64" s="13" t="s"/>
    </row>
    <row r="65" ht="20" customHeight="true">
      <c r="A65" s="13" t="s">
        <v>315</v>
      </c>
      <c r="B65" s="13">
        <v>990365354</v>
      </c>
      <c r="C65" s="13" t="s">
        <v>128</v>
      </c>
      <c r="D65" s="13" t="s">
        <v>129</v>
      </c>
      <c r="E65" s="13" t="s">
        <v>130</v>
      </c>
      <c r="F65" s="13">
        <v>538</v>
      </c>
      <c r="G65" s="13">
        <v>0</v>
      </c>
      <c r="H65" s="13">
        <v>2.912</v>
      </c>
      <c r="I65" s="13">
        <v>0.6</v>
      </c>
      <c r="J65" s="13" t="s">
        <v>316</v>
      </c>
      <c r="K65" s="13">
        <v>9036</v>
      </c>
      <c r="L65" s="13">
        <v>1944</v>
      </c>
      <c r="M65" s="13">
        <v>0.46</v>
      </c>
      <c r="N65" s="13">
        <v>9</v>
      </c>
      <c r="O65" s="13">
        <v>1366</v>
      </c>
      <c r="P65" s="13">
        <v>1004</v>
      </c>
      <c r="Q65" s="13">
        <v>27</v>
      </c>
      <c r="R65" s="13">
        <v>362</v>
      </c>
      <c r="S65" s="13">
        <v>1004</v>
      </c>
      <c r="T65" s="13">
        <v>48</v>
      </c>
      <c r="U65" s="13">
        <v>643</v>
      </c>
      <c r="V65" s="13" t="s">
        <v>132</v>
      </c>
      <c r="W65" s="13">
        <v>502</v>
      </c>
      <c r="X65" s="13" t="s">
        <v>133</v>
      </c>
      <c r="Y65" s="13" t="s">
        <v>134</v>
      </c>
      <c r="Z65" s="13" t="s"/>
      <c r="AA65" s="13" t="s">
        <v>218</v>
      </c>
      <c r="AB65" s="13" t="s">
        <v>172</v>
      </c>
      <c r="AC65" s="13" t="s">
        <v>173</v>
      </c>
      <c r="AD65" s="13" t="s">
        <v>138</v>
      </c>
      <c r="AE65" s="13" t="s">
        <v>138</v>
      </c>
      <c r="AF65" s="13">
        <v>0</v>
      </c>
      <c r="AG65" s="13">
        <v>520</v>
      </c>
      <c r="AH65" s="13">
        <v>520</v>
      </c>
      <c r="AI65" s="13" t="s">
        <v>310</v>
      </c>
      <c r="AJ65" s="13" t="s">
        <v>310</v>
      </c>
      <c r="AK65" s="13" t="s">
        <v>140</v>
      </c>
      <c r="AL65" s="13">
        <v>0</v>
      </c>
      <c r="AM65" s="13">
        <v>1.21</v>
      </c>
      <c r="AN65" s="13">
        <v>1.21</v>
      </c>
      <c r="AO65" s="13">
        <v>10.04</v>
      </c>
      <c r="AP65" s="13">
        <v>38</v>
      </c>
      <c r="AQ65" s="13">
        <v>74</v>
      </c>
      <c r="AR65" s="13">
        <v>356.48</v>
      </c>
      <c r="AS65" s="13">
        <v>25</v>
      </c>
      <c r="AT65" s="13">
        <v>0</v>
      </c>
      <c r="AU65" s="13">
        <v>47</v>
      </c>
      <c r="AV65" s="13">
        <v>10</v>
      </c>
      <c r="AW65" s="13">
        <v>30</v>
      </c>
      <c r="AX65" s="13">
        <v>0</v>
      </c>
      <c r="AY65" s="13">
        <v>74</v>
      </c>
      <c r="AZ65" s="13">
        <v>236</v>
      </c>
      <c r="BA65" s="13">
        <v>25</v>
      </c>
      <c r="BB65" s="13" t="s"/>
      <c r="BC65" s="13" t="s"/>
      <c r="BD65" s="1">
        <f>=IF(IF(BC65&lt;&gt;"",IF(BB65&lt;&gt;"",CEILING(((BB65-BC65)/BB65)*100,1),IF(AND(O65&lt;&gt;"",O65&gt;0),CEILING((((O65-BC65)/O65)*100),1),"")),"")&gt;=0,IF(BC65&lt;&gt;"",IF(BB65&lt;&gt;"",CEILING(((BB65-BC65)/BB65)*100,1),IF(AND(O65&lt;&gt;"",O65&gt;0),CEILING((((O65-BC65)/O65)*100),1),"")),""), "Ошибка: цена до скидки должна быть больше текущей.")</f>
      </c>
      <c r="BE65" s="13" t="s"/>
      <c r="BF65" s="13" t="s"/>
      <c r="BG65" s="13" t="s"/>
      <c r="BH65" s="13" t="s"/>
      <c r="BI65" s="13" t="s"/>
      <c r="BJ65" s="13" t="s"/>
      <c r="BK65" s="13" t="s"/>
    </row>
    <row r="66" ht="20" customHeight="true">
      <c r="A66" s="13" t="s">
        <v>317</v>
      </c>
      <c r="B66" s="13">
        <v>990365343</v>
      </c>
      <c r="C66" s="13" t="s">
        <v>128</v>
      </c>
      <c r="D66" s="13" t="s">
        <v>129</v>
      </c>
      <c r="E66" s="13" t="s">
        <v>130</v>
      </c>
      <c r="F66" s="13">
        <v>642</v>
      </c>
      <c r="G66" s="13">
        <v>0</v>
      </c>
      <c r="H66" s="13">
        <v>3.038</v>
      </c>
      <c r="I66" s="13">
        <v>0.6</v>
      </c>
      <c r="J66" s="13" t="s">
        <v>318</v>
      </c>
      <c r="K66" s="13">
        <v>5020</v>
      </c>
      <c r="L66" s="13">
        <v>2179</v>
      </c>
      <c r="M66" s="13">
        <v>0.23</v>
      </c>
      <c r="N66" s="13">
        <v>5</v>
      </c>
      <c r="O66" s="13">
        <v>1366</v>
      </c>
      <c r="P66" s="13">
        <v>1004</v>
      </c>
      <c r="Q66" s="13">
        <v>27</v>
      </c>
      <c r="R66" s="13">
        <v>362</v>
      </c>
      <c r="S66" s="13">
        <v>1004</v>
      </c>
      <c r="T66" s="13">
        <v>48</v>
      </c>
      <c r="U66" s="13">
        <v>650</v>
      </c>
      <c r="V66" s="13" t="s">
        <v>132</v>
      </c>
      <c r="W66" s="13">
        <v>502</v>
      </c>
      <c r="X66" s="13" t="s">
        <v>133</v>
      </c>
      <c r="Y66" s="13" t="s">
        <v>134</v>
      </c>
      <c r="Z66" s="13" t="s"/>
      <c r="AA66" s="13" t="s">
        <v>319</v>
      </c>
      <c r="AB66" s="13" t="s">
        <v>136</v>
      </c>
      <c r="AC66" s="13" t="s">
        <v>137</v>
      </c>
      <c r="AD66" s="13" t="s">
        <v>138</v>
      </c>
      <c r="AE66" s="13" t="s">
        <v>138</v>
      </c>
      <c r="AF66" s="13">
        <v>0</v>
      </c>
      <c r="AG66" s="13">
        <v>520</v>
      </c>
      <c r="AH66" s="13">
        <v>520</v>
      </c>
      <c r="AI66" s="13" t="s">
        <v>310</v>
      </c>
      <c r="AJ66" s="13" t="s">
        <v>310</v>
      </c>
      <c r="AK66" s="13" t="s">
        <v>140</v>
      </c>
      <c r="AL66" s="13">
        <v>0</v>
      </c>
      <c r="AM66" s="13">
        <v>1.21</v>
      </c>
      <c r="AN66" s="13">
        <v>1.21</v>
      </c>
      <c r="AO66" s="13">
        <v>10.04</v>
      </c>
      <c r="AP66" s="13">
        <v>38</v>
      </c>
      <c r="AQ66" s="13">
        <v>78</v>
      </c>
      <c r="AR66" s="13">
        <v>420.48</v>
      </c>
      <c r="AS66" s="13">
        <v>25</v>
      </c>
      <c r="AT66" s="13">
        <v>0</v>
      </c>
      <c r="AU66" s="13">
        <v>47</v>
      </c>
      <c r="AV66" s="13">
        <v>10</v>
      </c>
      <c r="AW66" s="13">
        <v>30</v>
      </c>
      <c r="AX66" s="13">
        <v>0</v>
      </c>
      <c r="AY66" s="13">
        <v>78</v>
      </c>
      <c r="AZ66" s="13">
        <v>300</v>
      </c>
      <c r="BA66" s="13">
        <v>25</v>
      </c>
      <c r="BB66" s="13" t="s"/>
      <c r="BC66" s="13" t="s"/>
      <c r="BD66" s="1">
        <f>=IF(IF(BC66&lt;&gt;"",IF(BB66&lt;&gt;"",CEILING(((BB66-BC66)/BB66)*100,1),IF(AND(O66&lt;&gt;"",O66&gt;0),CEILING((((O66-BC66)/O66)*100),1),"")),"")&gt;=0,IF(BC66&lt;&gt;"",IF(BB66&lt;&gt;"",CEILING(((BB66-BC66)/BB66)*100,1),IF(AND(O66&lt;&gt;"",O66&gt;0),CEILING((((O66-BC66)/O66)*100),1),"")),""), "Ошибка: цена до скидки должна быть больше текущей.")</f>
      </c>
      <c r="BE66" s="13" t="s"/>
      <c r="BF66" s="13" t="s"/>
      <c r="BG66" s="13" t="s"/>
      <c r="BH66" s="13" t="s"/>
      <c r="BI66" s="13" t="s"/>
      <c r="BJ66" s="13" t="s"/>
      <c r="BK66" s="13" t="s"/>
    </row>
    <row r="67" ht="20" customHeight="true">
      <c r="A67" s="13" t="s">
        <v>320</v>
      </c>
      <c r="B67" s="13">
        <v>1039144313</v>
      </c>
      <c r="C67" s="13" t="s">
        <v>321</v>
      </c>
      <c r="D67" s="13" t="s">
        <v>129</v>
      </c>
      <c r="E67" s="13" t="s">
        <v>130</v>
      </c>
      <c r="F67" s="13">
        <v>148</v>
      </c>
      <c r="G67" s="13">
        <v>0</v>
      </c>
      <c r="H67" s="13">
        <v>5.824</v>
      </c>
      <c r="I67" s="13">
        <v>1.2</v>
      </c>
      <c r="J67" s="13" t="s">
        <v>322</v>
      </c>
      <c r="K67" s="13">
        <v>0</v>
      </c>
      <c r="L67" s="13">
        <v>1378</v>
      </c>
      <c r="M67" s="13">
        <v>0</v>
      </c>
      <c r="N67" s="13">
        <v>0</v>
      </c>
      <c r="O67" s="13">
        <v>6151</v>
      </c>
      <c r="P67" s="13">
        <v>4523</v>
      </c>
      <c r="Q67" s="13">
        <v>27</v>
      </c>
      <c r="R67" s="13">
        <v>1628</v>
      </c>
      <c r="S67" s="13">
        <v>4479</v>
      </c>
      <c r="T67" s="13">
        <v>56</v>
      </c>
      <c r="U67" s="13">
        <v>3385</v>
      </c>
      <c r="V67" s="13" t="s">
        <v>132</v>
      </c>
      <c r="W67" s="13">
        <v>3968</v>
      </c>
      <c r="X67" s="13" t="s">
        <v>138</v>
      </c>
      <c r="Y67" s="13" t="s">
        <v>147</v>
      </c>
      <c r="Z67" s="13" t="s"/>
      <c r="AA67" s="13" t="s">
        <v>323</v>
      </c>
      <c r="AB67" s="13" t="s">
        <v>324</v>
      </c>
      <c r="AC67" s="13" t="s">
        <v>325</v>
      </c>
      <c r="AD67" s="13" t="s">
        <v>138</v>
      </c>
      <c r="AE67" s="13" t="s">
        <v>138</v>
      </c>
      <c r="AF67" s="13">
        <v>0</v>
      </c>
      <c r="AG67" s="13">
        <v>2823</v>
      </c>
      <c r="AH67" s="13">
        <v>2823</v>
      </c>
      <c r="AI67" s="13" t="s">
        <v>326</v>
      </c>
      <c r="AJ67" s="13" t="s">
        <v>326</v>
      </c>
      <c r="AK67" s="13" t="s">
        <v>327</v>
      </c>
      <c r="AL67" s="13">
        <v>0</v>
      </c>
      <c r="AM67" s="13">
        <v>0.9</v>
      </c>
      <c r="AN67" s="13">
        <v>0.9</v>
      </c>
      <c r="AO67" s="13">
        <v>44.79</v>
      </c>
      <c r="AP67" s="13">
        <v>46</v>
      </c>
      <c r="AQ67" s="13">
        <v>89</v>
      </c>
      <c r="AR67" s="13">
        <v>914.48</v>
      </c>
      <c r="AS67" s="13">
        <v>25</v>
      </c>
      <c r="AT67" s="13">
        <v>0</v>
      </c>
      <c r="AU67" s="13">
        <v>52</v>
      </c>
      <c r="AV67" s="13">
        <v>10</v>
      </c>
      <c r="AW67" s="13">
        <v>30</v>
      </c>
      <c r="AX67" s="13">
        <v>0</v>
      </c>
      <c r="AY67" s="13">
        <v>89</v>
      </c>
      <c r="AZ67" s="13">
        <v>377</v>
      </c>
      <c r="BA67" s="13">
        <v>25</v>
      </c>
      <c r="BB67" s="13" t="s"/>
      <c r="BC67" s="13" t="s"/>
      <c r="BD67" s="1">
        <f>=IF(IF(BC67&lt;&gt;"",IF(BB67&lt;&gt;"",CEILING(((BB67-BC67)/BB67)*100,1),IF(AND(O67&lt;&gt;"",O67&gt;0),CEILING((((O67-BC67)/O67)*100),1),"")),"")&gt;=0,IF(BC67&lt;&gt;"",IF(BB67&lt;&gt;"",CEILING(((BB67-BC67)/BB67)*100,1),IF(AND(O67&lt;&gt;"",O67&gt;0),CEILING((((O67-BC67)/O67)*100),1),"")),""), "Ошибка: цена до скидки должна быть больше текущей.")</f>
      </c>
      <c r="BE67" s="13" t="s"/>
      <c r="BF67" s="13" t="s"/>
      <c r="BG67" s="13" t="s"/>
      <c r="BH67" s="13" t="s"/>
      <c r="BI67" s="13" t="s"/>
      <c r="BJ67" s="13" t="s"/>
      <c r="BK67" s="13" t="s"/>
    </row>
    <row r="68" ht="20" customHeight="true">
      <c r="A68" s="13" t="s">
        <v>328</v>
      </c>
      <c r="B68" s="13">
        <v>1039144395</v>
      </c>
      <c r="C68" s="13" t="s">
        <v>321</v>
      </c>
      <c r="D68" s="13" t="s">
        <v>129</v>
      </c>
      <c r="E68" s="13" t="s">
        <v>130</v>
      </c>
      <c r="F68" s="13">
        <v>84</v>
      </c>
      <c r="G68" s="13">
        <v>0</v>
      </c>
      <c r="H68" s="13">
        <v>5.824</v>
      </c>
      <c r="I68" s="13">
        <v>1.2</v>
      </c>
      <c r="J68" s="13" t="s">
        <v>329</v>
      </c>
      <c r="K68" s="13">
        <v>0</v>
      </c>
      <c r="L68" s="13">
        <v>453</v>
      </c>
      <c r="M68" s="13">
        <v>0</v>
      </c>
      <c r="N68" s="13">
        <v>0</v>
      </c>
      <c r="O68" s="13">
        <v>6151</v>
      </c>
      <c r="P68" s="13">
        <v>4523</v>
      </c>
      <c r="Q68" s="13">
        <v>27</v>
      </c>
      <c r="R68" s="13">
        <v>1628</v>
      </c>
      <c r="S68" s="13">
        <v>4479</v>
      </c>
      <c r="T68" s="13">
        <v>56</v>
      </c>
      <c r="U68" s="13">
        <v>3385</v>
      </c>
      <c r="V68" s="13" t="s">
        <v>132</v>
      </c>
      <c r="W68" s="13">
        <v>3934</v>
      </c>
      <c r="X68" s="13" t="s">
        <v>138</v>
      </c>
      <c r="Y68" s="13" t="s">
        <v>147</v>
      </c>
      <c r="Z68" s="13" t="s"/>
      <c r="AA68" s="13" t="s">
        <v>330</v>
      </c>
      <c r="AB68" s="13" t="s">
        <v>331</v>
      </c>
      <c r="AC68" s="13" t="s">
        <v>332</v>
      </c>
      <c r="AD68" s="13" t="s">
        <v>138</v>
      </c>
      <c r="AE68" s="13" t="s">
        <v>138</v>
      </c>
      <c r="AF68" s="13">
        <v>0</v>
      </c>
      <c r="AG68" s="13">
        <v>2823</v>
      </c>
      <c r="AH68" s="13">
        <v>2823</v>
      </c>
      <c r="AI68" s="13" t="s">
        <v>326</v>
      </c>
      <c r="AJ68" s="13" t="s">
        <v>326</v>
      </c>
      <c r="AK68" s="13" t="s">
        <v>327</v>
      </c>
      <c r="AL68" s="13">
        <v>0</v>
      </c>
      <c r="AM68" s="13">
        <v>0.9</v>
      </c>
      <c r="AN68" s="13">
        <v>0.9</v>
      </c>
      <c r="AO68" s="13">
        <v>44.79</v>
      </c>
      <c r="AP68" s="13">
        <v>46</v>
      </c>
      <c r="AQ68" s="13">
        <v>89</v>
      </c>
      <c r="AR68" s="13">
        <v>914.48</v>
      </c>
      <c r="AS68" s="13">
        <v>25</v>
      </c>
      <c r="AT68" s="13">
        <v>0</v>
      </c>
      <c r="AU68" s="13">
        <v>52</v>
      </c>
      <c r="AV68" s="13">
        <v>10</v>
      </c>
      <c r="AW68" s="13">
        <v>30</v>
      </c>
      <c r="AX68" s="13">
        <v>0</v>
      </c>
      <c r="AY68" s="13">
        <v>89</v>
      </c>
      <c r="AZ68" s="13">
        <v>377</v>
      </c>
      <c r="BA68" s="13">
        <v>25</v>
      </c>
      <c r="BB68" s="13" t="s"/>
      <c r="BC68" s="13" t="s"/>
      <c r="BD68" s="1">
        <f>=IF(IF(BC68&lt;&gt;"",IF(BB68&lt;&gt;"",CEILING(((BB68-BC68)/BB68)*100,1),IF(AND(O68&lt;&gt;"",O68&gt;0),CEILING((((O68-BC68)/O68)*100),1),"")),"")&gt;=0,IF(BC68&lt;&gt;"",IF(BB68&lt;&gt;"",CEILING(((BB68-BC68)/BB68)*100,1),IF(AND(O68&lt;&gt;"",O68&gt;0),CEILING((((O68-BC68)/O68)*100),1),"")),""), "Ошибка: цена до скидки должна быть больше текущей.")</f>
      </c>
      <c r="BE68" s="13" t="s"/>
      <c r="BF68" s="13" t="s"/>
      <c r="BG68" s="13" t="s"/>
      <c r="BH68" s="13" t="s"/>
      <c r="BI68" s="13" t="s"/>
      <c r="BJ68" s="13" t="s"/>
      <c r="BK68" s="13" t="s"/>
    </row>
    <row r="69" ht="20" customHeight="true">
      <c r="A69" s="13" t="s">
        <v>333</v>
      </c>
      <c r="B69" s="13">
        <v>1039144498</v>
      </c>
      <c r="C69" s="13" t="s">
        <v>321</v>
      </c>
      <c r="D69" s="13" t="s">
        <v>129</v>
      </c>
      <c r="E69" s="13" t="s">
        <v>130</v>
      </c>
      <c r="F69" s="13">
        <v>116</v>
      </c>
      <c r="G69" s="13">
        <v>0</v>
      </c>
      <c r="H69" s="13">
        <v>5.824</v>
      </c>
      <c r="I69" s="13">
        <v>1.2</v>
      </c>
      <c r="J69" s="13" t="s">
        <v>334</v>
      </c>
      <c r="K69" s="13">
        <v>0</v>
      </c>
      <c r="L69" s="13">
        <v>1291</v>
      </c>
      <c r="M69" s="13">
        <v>0</v>
      </c>
      <c r="N69" s="13">
        <v>0</v>
      </c>
      <c r="O69" s="13">
        <v>6151</v>
      </c>
      <c r="P69" s="13">
        <v>4523</v>
      </c>
      <c r="Q69" s="13">
        <v>27</v>
      </c>
      <c r="R69" s="13">
        <v>1628</v>
      </c>
      <c r="S69" s="13">
        <v>4479</v>
      </c>
      <c r="T69" s="13">
        <v>56</v>
      </c>
      <c r="U69" s="13">
        <v>3385</v>
      </c>
      <c r="V69" s="13" t="s">
        <v>132</v>
      </c>
      <c r="W69" s="13">
        <v>3966</v>
      </c>
      <c r="X69" s="13" t="s">
        <v>138</v>
      </c>
      <c r="Y69" s="13" t="s">
        <v>147</v>
      </c>
      <c r="Z69" s="13" t="s"/>
      <c r="AA69" s="13" t="s">
        <v>335</v>
      </c>
      <c r="AB69" s="13" t="s">
        <v>324</v>
      </c>
      <c r="AC69" s="13" t="s">
        <v>325</v>
      </c>
      <c r="AD69" s="13" t="s">
        <v>138</v>
      </c>
      <c r="AE69" s="13" t="s">
        <v>138</v>
      </c>
      <c r="AF69" s="13">
        <v>0</v>
      </c>
      <c r="AG69" s="13">
        <v>2823</v>
      </c>
      <c r="AH69" s="13">
        <v>2823</v>
      </c>
      <c r="AI69" s="13" t="s">
        <v>326</v>
      </c>
      <c r="AJ69" s="13" t="s">
        <v>326</v>
      </c>
      <c r="AK69" s="13" t="s">
        <v>327</v>
      </c>
      <c r="AL69" s="13">
        <v>0</v>
      </c>
      <c r="AM69" s="13">
        <v>0.9</v>
      </c>
      <c r="AN69" s="13">
        <v>0.9</v>
      </c>
      <c r="AO69" s="13">
        <v>44.79</v>
      </c>
      <c r="AP69" s="13">
        <v>46</v>
      </c>
      <c r="AQ69" s="13">
        <v>89</v>
      </c>
      <c r="AR69" s="13">
        <v>914.48</v>
      </c>
      <c r="AS69" s="13">
        <v>25</v>
      </c>
      <c r="AT69" s="13">
        <v>0</v>
      </c>
      <c r="AU69" s="13">
        <v>52</v>
      </c>
      <c r="AV69" s="13">
        <v>10</v>
      </c>
      <c r="AW69" s="13">
        <v>30</v>
      </c>
      <c r="AX69" s="13">
        <v>0</v>
      </c>
      <c r="AY69" s="13">
        <v>89</v>
      </c>
      <c r="AZ69" s="13">
        <v>377</v>
      </c>
      <c r="BA69" s="13">
        <v>25</v>
      </c>
      <c r="BB69" s="13" t="s"/>
      <c r="BC69" s="13" t="s"/>
      <c r="BD69" s="1">
        <f>=IF(IF(BC69&lt;&gt;"",IF(BB69&lt;&gt;"",CEILING(((BB69-BC69)/BB69)*100,1),IF(AND(O69&lt;&gt;"",O69&gt;0),CEILING((((O69-BC69)/O69)*100),1),"")),"")&gt;=0,IF(BC69&lt;&gt;"",IF(BB69&lt;&gt;"",CEILING(((BB69-BC69)/BB69)*100,1),IF(AND(O69&lt;&gt;"",O69&gt;0),CEILING((((O69-BC69)/O69)*100),1),"")),""), "Ошибка: цена до скидки должна быть больше текущей.")</f>
      </c>
      <c r="BE69" s="13" t="s"/>
      <c r="BF69" s="13" t="s"/>
      <c r="BG69" s="13" t="s"/>
      <c r="BH69" s="13" t="s"/>
      <c r="BI69" s="13" t="s"/>
      <c r="BJ69" s="13" t="s"/>
      <c r="BK69" s="13" t="s"/>
    </row>
    <row r="70" ht="20" customHeight="true">
      <c r="A70" s="13" t="s">
        <v>336</v>
      </c>
      <c r="B70" s="13">
        <v>1039144211</v>
      </c>
      <c r="C70" s="13" t="s">
        <v>321</v>
      </c>
      <c r="D70" s="13" t="s">
        <v>129</v>
      </c>
      <c r="E70" s="13" t="s">
        <v>130</v>
      </c>
      <c r="F70" s="13">
        <v>84</v>
      </c>
      <c r="G70" s="13">
        <v>0</v>
      </c>
      <c r="H70" s="13">
        <v>5.824</v>
      </c>
      <c r="I70" s="13">
        <v>1.2</v>
      </c>
      <c r="J70" s="13" t="s">
        <v>337</v>
      </c>
      <c r="K70" s="13">
        <v>13437</v>
      </c>
      <c r="L70" s="13">
        <v>980</v>
      </c>
      <c r="M70" s="13">
        <v>0.31</v>
      </c>
      <c r="N70" s="13">
        <v>3</v>
      </c>
      <c r="O70" s="13">
        <v>6151</v>
      </c>
      <c r="P70" s="13">
        <v>4523</v>
      </c>
      <c r="Q70" s="13">
        <v>27</v>
      </c>
      <c r="R70" s="13">
        <v>1628</v>
      </c>
      <c r="S70" s="13">
        <v>4479</v>
      </c>
      <c r="T70" s="13">
        <v>56</v>
      </c>
      <c r="U70" s="13">
        <v>3385</v>
      </c>
      <c r="V70" s="13" t="s">
        <v>132</v>
      </c>
      <c r="W70" s="13">
        <v>3971</v>
      </c>
      <c r="X70" s="13" t="s">
        <v>138</v>
      </c>
      <c r="Y70" s="13" t="s">
        <v>147</v>
      </c>
      <c r="Z70" s="13" t="s"/>
      <c r="AA70" s="13" t="s">
        <v>338</v>
      </c>
      <c r="AB70" s="13" t="s">
        <v>324</v>
      </c>
      <c r="AC70" s="13" t="s">
        <v>325</v>
      </c>
      <c r="AD70" s="13" t="s">
        <v>138</v>
      </c>
      <c r="AE70" s="13" t="s">
        <v>138</v>
      </c>
      <c r="AF70" s="13">
        <v>0</v>
      </c>
      <c r="AG70" s="13">
        <v>2823</v>
      </c>
      <c r="AH70" s="13">
        <v>2823</v>
      </c>
      <c r="AI70" s="13" t="s">
        <v>326</v>
      </c>
      <c r="AJ70" s="13" t="s">
        <v>326</v>
      </c>
      <c r="AK70" s="13" t="s">
        <v>327</v>
      </c>
      <c r="AL70" s="13">
        <v>0</v>
      </c>
      <c r="AM70" s="13">
        <v>0.9</v>
      </c>
      <c r="AN70" s="13">
        <v>0.9</v>
      </c>
      <c r="AO70" s="13">
        <v>44.79</v>
      </c>
      <c r="AP70" s="13">
        <v>46</v>
      </c>
      <c r="AQ70" s="13">
        <v>89</v>
      </c>
      <c r="AR70" s="13">
        <v>914.48</v>
      </c>
      <c r="AS70" s="13">
        <v>25</v>
      </c>
      <c r="AT70" s="13">
        <v>0</v>
      </c>
      <c r="AU70" s="13">
        <v>52</v>
      </c>
      <c r="AV70" s="13">
        <v>10</v>
      </c>
      <c r="AW70" s="13">
        <v>30</v>
      </c>
      <c r="AX70" s="13">
        <v>0</v>
      </c>
      <c r="AY70" s="13">
        <v>89</v>
      </c>
      <c r="AZ70" s="13">
        <v>377</v>
      </c>
      <c r="BA70" s="13">
        <v>25</v>
      </c>
      <c r="BB70" s="13" t="s"/>
      <c r="BC70" s="13" t="s"/>
      <c r="BD70" s="1">
        <f>=IF(IF(BC70&lt;&gt;"",IF(BB70&lt;&gt;"",CEILING(((BB70-BC70)/BB70)*100,1),IF(AND(O70&lt;&gt;"",O70&gt;0),CEILING((((O70-BC70)/O70)*100),1),"")),"")&gt;=0,IF(BC70&lt;&gt;"",IF(BB70&lt;&gt;"",CEILING(((BB70-BC70)/BB70)*100,1),IF(AND(O70&lt;&gt;"",O70&gt;0),CEILING((((O70-BC70)/O70)*100),1),"")),""), "Ошибка: цена до скидки должна быть больше текущей.")</f>
      </c>
      <c r="BE70" s="13" t="s"/>
      <c r="BF70" s="13" t="s"/>
      <c r="BG70" s="13" t="s"/>
      <c r="BH70" s="13" t="s"/>
      <c r="BI70" s="13" t="s"/>
      <c r="BJ70" s="13" t="s"/>
      <c r="BK70" s="13" t="s"/>
    </row>
    <row r="71" ht="20" customHeight="true">
      <c r="A71" s="13" t="s">
        <v>339</v>
      </c>
      <c r="B71" s="13">
        <v>1039140006</v>
      </c>
      <c r="C71" s="13" t="s">
        <v>321</v>
      </c>
      <c r="D71" s="13" t="s">
        <v>129</v>
      </c>
      <c r="E71" s="13" t="s">
        <v>130</v>
      </c>
      <c r="F71" s="13">
        <v>133</v>
      </c>
      <c r="G71" s="13">
        <v>0</v>
      </c>
      <c r="H71" s="13">
        <v>5.824</v>
      </c>
      <c r="I71" s="13">
        <v>1.2</v>
      </c>
      <c r="J71" s="13" t="s">
        <v>340</v>
      </c>
      <c r="K71" s="13">
        <v>0</v>
      </c>
      <c r="L71" s="13">
        <v>826</v>
      </c>
      <c r="M71" s="13">
        <v>0</v>
      </c>
      <c r="N71" s="13">
        <v>0</v>
      </c>
      <c r="O71" s="13">
        <v>6151</v>
      </c>
      <c r="P71" s="13">
        <v>4523</v>
      </c>
      <c r="Q71" s="13">
        <v>27</v>
      </c>
      <c r="R71" s="13">
        <v>1628</v>
      </c>
      <c r="S71" s="13">
        <v>4479</v>
      </c>
      <c r="T71" s="13">
        <v>56</v>
      </c>
      <c r="U71" s="13">
        <v>3385</v>
      </c>
      <c r="V71" s="13" t="s">
        <v>132</v>
      </c>
      <c r="W71" s="13">
        <v>3969</v>
      </c>
      <c r="X71" s="13" t="s">
        <v>138</v>
      </c>
      <c r="Y71" s="13" t="s">
        <v>147</v>
      </c>
      <c r="Z71" s="13" t="s"/>
      <c r="AA71" s="13" t="s">
        <v>341</v>
      </c>
      <c r="AB71" s="13" t="s">
        <v>324</v>
      </c>
      <c r="AC71" s="13" t="s">
        <v>325</v>
      </c>
      <c r="AD71" s="13" t="s">
        <v>138</v>
      </c>
      <c r="AE71" s="13" t="s">
        <v>138</v>
      </c>
      <c r="AF71" s="13">
        <v>0</v>
      </c>
      <c r="AG71" s="13">
        <v>2823</v>
      </c>
      <c r="AH71" s="13">
        <v>2823</v>
      </c>
      <c r="AI71" s="13" t="s">
        <v>326</v>
      </c>
      <c r="AJ71" s="13" t="s">
        <v>326</v>
      </c>
      <c r="AK71" s="13" t="s">
        <v>327</v>
      </c>
      <c r="AL71" s="13">
        <v>0</v>
      </c>
      <c r="AM71" s="13">
        <v>0.9</v>
      </c>
      <c r="AN71" s="13">
        <v>0.9</v>
      </c>
      <c r="AO71" s="13">
        <v>44.79</v>
      </c>
      <c r="AP71" s="13">
        <v>46</v>
      </c>
      <c r="AQ71" s="13">
        <v>89</v>
      </c>
      <c r="AR71" s="13">
        <v>914.48</v>
      </c>
      <c r="AS71" s="13">
        <v>25</v>
      </c>
      <c r="AT71" s="13">
        <v>0</v>
      </c>
      <c r="AU71" s="13">
        <v>52</v>
      </c>
      <c r="AV71" s="13">
        <v>10</v>
      </c>
      <c r="AW71" s="13">
        <v>30</v>
      </c>
      <c r="AX71" s="13">
        <v>0</v>
      </c>
      <c r="AY71" s="13">
        <v>89</v>
      </c>
      <c r="AZ71" s="13">
        <v>377</v>
      </c>
      <c r="BA71" s="13">
        <v>25</v>
      </c>
      <c r="BB71" s="13" t="s"/>
      <c r="BC71" s="13" t="s"/>
      <c r="BD71" s="1">
        <f>=IF(IF(BC71&lt;&gt;"",IF(BB71&lt;&gt;"",CEILING(((BB71-BC71)/BB71)*100,1),IF(AND(O71&lt;&gt;"",O71&gt;0),CEILING((((O71-BC71)/O71)*100),1),"")),"")&gt;=0,IF(BC71&lt;&gt;"",IF(BB71&lt;&gt;"",CEILING(((BB71-BC71)/BB71)*100,1),IF(AND(O71&lt;&gt;"",O71&gt;0),CEILING((((O71-BC71)/O71)*100),1),"")),""), "Ошибка: цена до скидки должна быть больше текущей.")</f>
      </c>
      <c r="BE71" s="13" t="s"/>
      <c r="BF71" s="13" t="s"/>
      <c r="BG71" s="13" t="s"/>
      <c r="BH71" s="13" t="s"/>
      <c r="BI71" s="13" t="s"/>
      <c r="BJ71" s="13" t="s"/>
      <c r="BK71" s="13" t="s"/>
    </row>
    <row r="72" ht="20" customHeight="true">
      <c r="A72" s="13" t="s">
        <v>342</v>
      </c>
      <c r="B72" s="13">
        <v>1060069056</v>
      </c>
      <c r="C72" s="13" t="s">
        <v>321</v>
      </c>
      <c r="D72" s="13" t="s">
        <v>129</v>
      </c>
      <c r="E72" s="13" t="s">
        <v>130</v>
      </c>
      <c r="F72" s="13">
        <v>16</v>
      </c>
      <c r="G72" s="13">
        <v>0</v>
      </c>
      <c r="H72" s="13">
        <v>5.824</v>
      </c>
      <c r="I72" s="13">
        <v>1.2</v>
      </c>
      <c r="J72" s="13" t="s">
        <v>343</v>
      </c>
      <c r="K72" s="13">
        <v>4292</v>
      </c>
      <c r="L72" s="13">
        <v>330</v>
      </c>
      <c r="M72" s="13">
        <v>0.3</v>
      </c>
      <c r="N72" s="13">
        <v>1</v>
      </c>
      <c r="O72" s="13">
        <v>6341</v>
      </c>
      <c r="P72" s="13">
        <v>4292</v>
      </c>
      <c r="Q72" s="13">
        <v>33</v>
      </c>
      <c r="R72" s="13">
        <v>2049</v>
      </c>
      <c r="S72" s="13">
        <v>4292</v>
      </c>
      <c r="T72" s="13">
        <v>59</v>
      </c>
      <c r="U72" s="13">
        <v>3693</v>
      </c>
      <c r="V72" s="13" t="s">
        <v>132</v>
      </c>
      <c r="W72" s="13">
        <v>2146</v>
      </c>
      <c r="X72" s="13" t="s">
        <v>133</v>
      </c>
      <c r="Y72" s="13" t="s">
        <v>134</v>
      </c>
      <c r="Z72" s="13" t="s"/>
      <c r="AA72" s="13" t="s">
        <v>344</v>
      </c>
      <c r="AB72" s="13" t="s">
        <v>345</v>
      </c>
      <c r="AC72" s="13" t="s">
        <v>346</v>
      </c>
      <c r="AD72" s="13" t="s">
        <v>138</v>
      </c>
      <c r="AE72" s="13" t="s">
        <v>138</v>
      </c>
      <c r="AF72" s="13">
        <v>0</v>
      </c>
      <c r="AG72" s="13">
        <v>2585</v>
      </c>
      <c r="AH72" s="13">
        <v>2585</v>
      </c>
      <c r="AI72" s="13" t="s">
        <v>347</v>
      </c>
      <c r="AJ72" s="13" t="s">
        <v>347</v>
      </c>
      <c r="AK72" s="13" t="s">
        <v>327</v>
      </c>
      <c r="AL72" s="13">
        <v>0</v>
      </c>
      <c r="AM72" s="13">
        <v>0.94</v>
      </c>
      <c r="AN72" s="13">
        <v>0.94</v>
      </c>
      <c r="AO72" s="13">
        <v>42.92</v>
      </c>
      <c r="AP72" s="13">
        <v>46</v>
      </c>
      <c r="AQ72" s="13">
        <v>89</v>
      </c>
      <c r="AR72" s="13">
        <v>892.04</v>
      </c>
      <c r="AS72" s="13">
        <v>25</v>
      </c>
      <c r="AT72" s="13">
        <v>0</v>
      </c>
      <c r="AU72" s="13">
        <v>52</v>
      </c>
      <c r="AV72" s="13">
        <v>10</v>
      </c>
      <c r="AW72" s="13">
        <v>30</v>
      </c>
      <c r="AX72" s="13">
        <v>0</v>
      </c>
      <c r="AY72" s="13">
        <v>89</v>
      </c>
      <c r="AZ72" s="13">
        <v>377</v>
      </c>
      <c r="BA72" s="13">
        <v>25</v>
      </c>
      <c r="BB72" s="13" t="s"/>
      <c r="BC72" s="13" t="s"/>
      <c r="BD72" s="1">
        <f>=IF(IF(BC72&lt;&gt;"",IF(BB72&lt;&gt;"",CEILING(((BB72-BC72)/BB72)*100,1),IF(AND(O72&lt;&gt;"",O72&gt;0),CEILING((((O72-BC72)/O72)*100),1),"")),"")&gt;=0,IF(BC72&lt;&gt;"",IF(BB72&lt;&gt;"",CEILING(((BB72-BC72)/BB72)*100,1),IF(AND(O72&lt;&gt;"",O72&gt;0),CEILING((((O72-BC72)/O72)*100),1),"")),""), "Ошибка: цена до скидки должна быть больше текущей.")</f>
      </c>
      <c r="BE72" s="13" t="s"/>
      <c r="BF72" s="13" t="s"/>
      <c r="BG72" s="13" t="s"/>
      <c r="BH72" s="13" t="s"/>
      <c r="BI72" s="13" t="s"/>
      <c r="BJ72" s="13" t="s"/>
      <c r="BK72" s="13" t="s"/>
    </row>
    <row r="73" ht="20" customHeight="true">
      <c r="A73" s="13" t="s">
        <v>348</v>
      </c>
      <c r="B73" s="13">
        <v>1060099443</v>
      </c>
      <c r="C73" s="13" t="s">
        <v>321</v>
      </c>
      <c r="D73" s="13" t="s">
        <v>129</v>
      </c>
      <c r="E73" s="13" t="s">
        <v>130</v>
      </c>
      <c r="F73" s="13">
        <v>69</v>
      </c>
      <c r="G73" s="13">
        <v>0</v>
      </c>
      <c r="H73" s="13">
        <v>5.824</v>
      </c>
      <c r="I73" s="13">
        <v>1.2</v>
      </c>
      <c r="J73" s="13" t="s">
        <v>349</v>
      </c>
      <c r="K73" s="13">
        <v>17168</v>
      </c>
      <c r="L73" s="13">
        <v>1116</v>
      </c>
      <c r="M73" s="13">
        <v>0.36</v>
      </c>
      <c r="N73" s="13">
        <v>4</v>
      </c>
      <c r="O73" s="13">
        <v>6341</v>
      </c>
      <c r="P73" s="13">
        <v>4292</v>
      </c>
      <c r="Q73" s="13">
        <v>33</v>
      </c>
      <c r="R73" s="13">
        <v>2049</v>
      </c>
      <c r="S73" s="13">
        <v>4292</v>
      </c>
      <c r="T73" s="13">
        <v>59</v>
      </c>
      <c r="U73" s="13">
        <v>3693</v>
      </c>
      <c r="V73" s="13" t="s">
        <v>132</v>
      </c>
      <c r="W73" s="13">
        <v>2146</v>
      </c>
      <c r="X73" s="13" t="s">
        <v>133</v>
      </c>
      <c r="Y73" s="13" t="s">
        <v>134</v>
      </c>
      <c r="Z73" s="13" t="s"/>
      <c r="AA73" s="13" t="s">
        <v>350</v>
      </c>
      <c r="AB73" s="13" t="s">
        <v>351</v>
      </c>
      <c r="AC73" s="13" t="s">
        <v>352</v>
      </c>
      <c r="AD73" s="13" t="s">
        <v>138</v>
      </c>
      <c r="AE73" s="13" t="s">
        <v>138</v>
      </c>
      <c r="AF73" s="13">
        <v>0</v>
      </c>
      <c r="AG73" s="13">
        <v>2585</v>
      </c>
      <c r="AH73" s="13">
        <v>2585</v>
      </c>
      <c r="AI73" s="13" t="s">
        <v>347</v>
      </c>
      <c r="AJ73" s="13" t="s">
        <v>347</v>
      </c>
      <c r="AK73" s="13" t="s">
        <v>327</v>
      </c>
      <c r="AL73" s="13">
        <v>0</v>
      </c>
      <c r="AM73" s="13">
        <v>0.94</v>
      </c>
      <c r="AN73" s="13">
        <v>0.94</v>
      </c>
      <c r="AO73" s="13">
        <v>42.92</v>
      </c>
      <c r="AP73" s="13">
        <v>46</v>
      </c>
      <c r="AQ73" s="13">
        <v>89</v>
      </c>
      <c r="AR73" s="13">
        <v>892.04</v>
      </c>
      <c r="AS73" s="13">
        <v>25</v>
      </c>
      <c r="AT73" s="13">
        <v>0</v>
      </c>
      <c r="AU73" s="13">
        <v>52</v>
      </c>
      <c r="AV73" s="13">
        <v>10</v>
      </c>
      <c r="AW73" s="13">
        <v>30</v>
      </c>
      <c r="AX73" s="13">
        <v>0</v>
      </c>
      <c r="AY73" s="13">
        <v>89</v>
      </c>
      <c r="AZ73" s="13">
        <v>377</v>
      </c>
      <c r="BA73" s="13">
        <v>25</v>
      </c>
      <c r="BB73" s="13" t="s"/>
      <c r="BC73" s="13" t="s"/>
      <c r="BD73" s="1">
        <f>=IF(IF(BC73&lt;&gt;"",IF(BB73&lt;&gt;"",CEILING(((BB73-BC73)/BB73)*100,1),IF(AND(O73&lt;&gt;"",O73&gt;0),CEILING((((O73-BC73)/O73)*100),1),"")),"")&gt;=0,IF(BC73&lt;&gt;"",IF(BB73&lt;&gt;"",CEILING(((BB73-BC73)/BB73)*100,1),IF(AND(O73&lt;&gt;"",O73&gt;0),CEILING((((O73-BC73)/O73)*100),1),"")),""), "Ошибка: цена до скидки должна быть больше текущей.")</f>
      </c>
      <c r="BE73" s="13" t="s"/>
      <c r="BF73" s="13" t="s"/>
      <c r="BG73" s="13" t="s"/>
      <c r="BH73" s="13" t="s"/>
      <c r="BI73" s="13" t="s"/>
      <c r="BJ73" s="13" t="s"/>
      <c r="BK73" s="13" t="s"/>
    </row>
    <row r="74" ht="20" customHeight="true">
      <c r="A74" s="13" t="s">
        <v>353</v>
      </c>
      <c r="B74" s="13">
        <v>1060099001</v>
      </c>
      <c r="C74" s="13" t="s">
        <v>321</v>
      </c>
      <c r="D74" s="13" t="s">
        <v>129</v>
      </c>
      <c r="E74" s="13" t="s">
        <v>130</v>
      </c>
      <c r="F74" s="13">
        <v>54</v>
      </c>
      <c r="G74" s="13">
        <v>0</v>
      </c>
      <c r="H74" s="13">
        <v>5.824</v>
      </c>
      <c r="I74" s="13">
        <v>1.2</v>
      </c>
      <c r="J74" s="13" t="s">
        <v>354</v>
      </c>
      <c r="K74" s="13">
        <v>8988</v>
      </c>
      <c r="L74" s="13">
        <v>1404</v>
      </c>
      <c r="M74" s="13">
        <v>0.14</v>
      </c>
      <c r="N74" s="13">
        <v>2</v>
      </c>
      <c r="O74" s="13">
        <v>6341</v>
      </c>
      <c r="P74" s="13">
        <v>4494</v>
      </c>
      <c r="Q74" s="13">
        <v>30</v>
      </c>
      <c r="R74" s="13">
        <v>1847</v>
      </c>
      <c r="S74" s="13">
        <v>4494</v>
      </c>
      <c r="T74" s="13">
        <v>57</v>
      </c>
      <c r="U74" s="13">
        <v>3565</v>
      </c>
      <c r="V74" s="13" t="s">
        <v>132</v>
      </c>
      <c r="W74" s="13">
        <v>2247</v>
      </c>
      <c r="X74" s="13" t="s">
        <v>133</v>
      </c>
      <c r="Y74" s="13" t="s">
        <v>134</v>
      </c>
      <c r="Z74" s="13" t="s"/>
      <c r="AA74" s="13" t="s">
        <v>355</v>
      </c>
      <c r="AB74" s="13" t="s">
        <v>356</v>
      </c>
      <c r="AC74" s="13" t="s">
        <v>346</v>
      </c>
      <c r="AD74" s="13" t="s">
        <v>138</v>
      </c>
      <c r="AE74" s="13" t="s">
        <v>138</v>
      </c>
      <c r="AF74" s="13">
        <v>0</v>
      </c>
      <c r="AG74" s="13">
        <v>1552</v>
      </c>
      <c r="AH74" s="13">
        <v>2585</v>
      </c>
      <c r="AI74" s="13" t="s">
        <v>357</v>
      </c>
      <c r="AJ74" s="13" t="s">
        <v>347</v>
      </c>
      <c r="AK74" s="13" t="s">
        <v>140</v>
      </c>
      <c r="AL74" s="13">
        <v>0</v>
      </c>
      <c r="AM74" s="13">
        <v>1.39</v>
      </c>
      <c r="AN74" s="13">
        <v>0.98</v>
      </c>
      <c r="AO74" s="13">
        <v>44.94</v>
      </c>
      <c r="AP74" s="13">
        <v>46</v>
      </c>
      <c r="AQ74" s="13">
        <v>89</v>
      </c>
      <c r="AR74" s="13">
        <v>916.28</v>
      </c>
      <c r="AS74" s="13">
        <v>25</v>
      </c>
      <c r="AT74" s="13">
        <v>0</v>
      </c>
      <c r="AU74" s="13">
        <v>52</v>
      </c>
      <c r="AV74" s="13">
        <v>10</v>
      </c>
      <c r="AW74" s="13">
        <v>30</v>
      </c>
      <c r="AX74" s="13">
        <v>0</v>
      </c>
      <c r="AY74" s="13">
        <v>89</v>
      </c>
      <c r="AZ74" s="13">
        <v>377</v>
      </c>
      <c r="BA74" s="13">
        <v>25</v>
      </c>
      <c r="BB74" s="13" t="s"/>
      <c r="BC74" s="13" t="s"/>
      <c r="BD74" s="1">
        <f>=IF(IF(BC74&lt;&gt;"",IF(BB74&lt;&gt;"",CEILING(((BB74-BC74)/BB74)*100,1),IF(AND(O74&lt;&gt;"",O74&gt;0),CEILING((((O74-BC74)/O74)*100),1),"")),"")&gt;=0,IF(BC74&lt;&gt;"",IF(BB74&lt;&gt;"",CEILING(((BB74-BC74)/BB74)*100,1),IF(AND(O74&lt;&gt;"",O74&gt;0),CEILING((((O74-BC74)/O74)*100),1),"")),""), "Ошибка: цена до скидки должна быть больше текущей.")</f>
      </c>
      <c r="BE74" s="13" t="s"/>
      <c r="BF74" s="13" t="s"/>
      <c r="BG74" s="13" t="s"/>
      <c r="BH74" s="13" t="s"/>
      <c r="BI74" s="13" t="s"/>
      <c r="BJ74" s="13" t="s"/>
      <c r="BK74" s="13" t="s"/>
    </row>
    <row r="75" ht="20" customHeight="true">
      <c r="A75" s="13" t="s">
        <v>358</v>
      </c>
      <c r="B75" s="13">
        <v>1060100712</v>
      </c>
      <c r="C75" s="13" t="s">
        <v>321</v>
      </c>
      <c r="D75" s="13" t="s">
        <v>129</v>
      </c>
      <c r="E75" s="13" t="s">
        <v>130</v>
      </c>
      <c r="F75" s="13">
        <v>47</v>
      </c>
      <c r="G75" s="13">
        <v>0</v>
      </c>
      <c r="H75" s="13">
        <v>5.824</v>
      </c>
      <c r="I75" s="13">
        <v>1.2</v>
      </c>
      <c r="J75" s="13" t="s">
        <v>359</v>
      </c>
      <c r="K75" s="13">
        <v>8584</v>
      </c>
      <c r="L75" s="13">
        <v>1277</v>
      </c>
      <c r="M75" s="13">
        <v>0.16</v>
      </c>
      <c r="N75" s="13">
        <v>2</v>
      </c>
      <c r="O75" s="13">
        <v>6341</v>
      </c>
      <c r="P75" s="13">
        <v>4292</v>
      </c>
      <c r="Q75" s="13">
        <v>33</v>
      </c>
      <c r="R75" s="13">
        <v>2049</v>
      </c>
      <c r="S75" s="13">
        <v>4292</v>
      </c>
      <c r="T75" s="13">
        <v>59</v>
      </c>
      <c r="U75" s="13">
        <v>3693</v>
      </c>
      <c r="V75" s="13" t="s">
        <v>132</v>
      </c>
      <c r="W75" s="13">
        <v>2146</v>
      </c>
      <c r="X75" s="13" t="s">
        <v>133</v>
      </c>
      <c r="Y75" s="13" t="s">
        <v>134</v>
      </c>
      <c r="Z75" s="13" t="s"/>
      <c r="AA75" s="13" t="s">
        <v>360</v>
      </c>
      <c r="AB75" s="13" t="s">
        <v>356</v>
      </c>
      <c r="AC75" s="13" t="s">
        <v>352</v>
      </c>
      <c r="AD75" s="13" t="s">
        <v>138</v>
      </c>
      <c r="AE75" s="13" t="s">
        <v>138</v>
      </c>
      <c r="AF75" s="13">
        <v>0</v>
      </c>
      <c r="AG75" s="13">
        <v>2585</v>
      </c>
      <c r="AH75" s="13">
        <v>2585</v>
      </c>
      <c r="AI75" s="13" t="s">
        <v>347</v>
      </c>
      <c r="AJ75" s="13" t="s">
        <v>347</v>
      </c>
      <c r="AK75" s="13" t="s">
        <v>327</v>
      </c>
      <c r="AL75" s="13">
        <v>0</v>
      </c>
      <c r="AM75" s="13">
        <v>0.94</v>
      </c>
      <c r="AN75" s="13">
        <v>0.94</v>
      </c>
      <c r="AO75" s="13">
        <v>42.92</v>
      </c>
      <c r="AP75" s="13">
        <v>46</v>
      </c>
      <c r="AQ75" s="13">
        <v>89</v>
      </c>
      <c r="AR75" s="13">
        <v>892.04</v>
      </c>
      <c r="AS75" s="13">
        <v>25</v>
      </c>
      <c r="AT75" s="13">
        <v>0</v>
      </c>
      <c r="AU75" s="13">
        <v>52</v>
      </c>
      <c r="AV75" s="13">
        <v>10</v>
      </c>
      <c r="AW75" s="13">
        <v>30</v>
      </c>
      <c r="AX75" s="13">
        <v>0</v>
      </c>
      <c r="AY75" s="13">
        <v>89</v>
      </c>
      <c r="AZ75" s="13">
        <v>377</v>
      </c>
      <c r="BA75" s="13">
        <v>25</v>
      </c>
      <c r="BB75" s="13" t="s"/>
      <c r="BC75" s="13" t="s"/>
      <c r="BD75" s="1">
        <f>=IF(IF(BC75&lt;&gt;"",IF(BB75&lt;&gt;"",CEILING(((BB75-BC75)/BB75)*100,1),IF(AND(O75&lt;&gt;"",O75&gt;0),CEILING((((O75-BC75)/O75)*100),1),"")),"")&gt;=0,IF(BC75&lt;&gt;"",IF(BB75&lt;&gt;"",CEILING(((BB75-BC75)/BB75)*100,1),IF(AND(O75&lt;&gt;"",O75&gt;0),CEILING((((O75-BC75)/O75)*100),1),"")),""), "Ошибка: цена до скидки должна быть больше текущей.")</f>
      </c>
      <c r="BE75" s="13" t="s"/>
      <c r="BF75" s="13" t="s"/>
      <c r="BG75" s="13" t="s"/>
      <c r="BH75" s="13" t="s"/>
      <c r="BI75" s="13" t="s"/>
      <c r="BJ75" s="13" t="s"/>
      <c r="BK75" s="13" t="s"/>
    </row>
    <row r="76" ht="20" customHeight="true">
      <c r="A76" s="13" t="s">
        <v>361</v>
      </c>
      <c r="B76" s="13">
        <v>1060099833</v>
      </c>
      <c r="C76" s="13" t="s">
        <v>321</v>
      </c>
      <c r="D76" s="13" t="s">
        <v>129</v>
      </c>
      <c r="E76" s="13" t="s">
        <v>130</v>
      </c>
      <c r="F76" s="13">
        <v>103</v>
      </c>
      <c r="G76" s="13">
        <v>0</v>
      </c>
      <c r="H76" s="13">
        <v>5.824</v>
      </c>
      <c r="I76" s="13">
        <v>1.2</v>
      </c>
      <c r="J76" s="13" t="s">
        <v>362</v>
      </c>
      <c r="K76" s="13">
        <v>4292</v>
      </c>
      <c r="L76" s="13">
        <v>2011</v>
      </c>
      <c r="M76" s="13">
        <v>0.05</v>
      </c>
      <c r="N76" s="13">
        <v>1</v>
      </c>
      <c r="O76" s="13">
        <v>6341</v>
      </c>
      <c r="P76" s="13">
        <v>4292</v>
      </c>
      <c r="Q76" s="13">
        <v>33</v>
      </c>
      <c r="R76" s="13">
        <v>2049</v>
      </c>
      <c r="S76" s="13">
        <v>4292</v>
      </c>
      <c r="T76" s="13">
        <v>59</v>
      </c>
      <c r="U76" s="13">
        <v>3693</v>
      </c>
      <c r="V76" s="13" t="s">
        <v>132</v>
      </c>
      <c r="W76" s="13">
        <v>2146</v>
      </c>
      <c r="X76" s="13" t="s">
        <v>133</v>
      </c>
      <c r="Y76" s="13" t="s">
        <v>134</v>
      </c>
      <c r="Z76" s="13" t="s"/>
      <c r="AA76" s="13" t="s">
        <v>363</v>
      </c>
      <c r="AB76" s="13" t="s">
        <v>351</v>
      </c>
      <c r="AC76" s="13" t="s">
        <v>352</v>
      </c>
      <c r="AD76" s="13" t="s">
        <v>138</v>
      </c>
      <c r="AE76" s="13" t="s">
        <v>138</v>
      </c>
      <c r="AF76" s="13">
        <v>0</v>
      </c>
      <c r="AG76" s="13">
        <v>2585</v>
      </c>
      <c r="AH76" s="13">
        <v>2585</v>
      </c>
      <c r="AI76" s="13" t="s">
        <v>347</v>
      </c>
      <c r="AJ76" s="13" t="s">
        <v>347</v>
      </c>
      <c r="AK76" s="13" t="s">
        <v>327</v>
      </c>
      <c r="AL76" s="13">
        <v>0</v>
      </c>
      <c r="AM76" s="13">
        <v>0.94</v>
      </c>
      <c r="AN76" s="13">
        <v>0.94</v>
      </c>
      <c r="AO76" s="13">
        <v>42.92</v>
      </c>
      <c r="AP76" s="13">
        <v>46</v>
      </c>
      <c r="AQ76" s="13">
        <v>89</v>
      </c>
      <c r="AR76" s="13">
        <v>892.04</v>
      </c>
      <c r="AS76" s="13">
        <v>25</v>
      </c>
      <c r="AT76" s="13">
        <v>0</v>
      </c>
      <c r="AU76" s="13">
        <v>52</v>
      </c>
      <c r="AV76" s="13">
        <v>10</v>
      </c>
      <c r="AW76" s="13">
        <v>30</v>
      </c>
      <c r="AX76" s="13">
        <v>0</v>
      </c>
      <c r="AY76" s="13">
        <v>89</v>
      </c>
      <c r="AZ76" s="13">
        <v>377</v>
      </c>
      <c r="BA76" s="13">
        <v>25</v>
      </c>
      <c r="BB76" s="13" t="s"/>
      <c r="BC76" s="13" t="s"/>
      <c r="BD76" s="1">
        <f>=IF(IF(BC76&lt;&gt;"",IF(BB76&lt;&gt;"",CEILING(((BB76-BC76)/BB76)*100,1),IF(AND(O76&lt;&gt;"",O76&gt;0),CEILING((((O76-BC76)/O76)*100),1),"")),"")&gt;=0,IF(BC76&lt;&gt;"",IF(BB76&lt;&gt;"",CEILING(((BB76-BC76)/BB76)*100,1),IF(AND(O76&lt;&gt;"",O76&gt;0),CEILING((((O76-BC76)/O76)*100),1),"")),""), "Ошибка: цена до скидки должна быть больше текущей.")</f>
      </c>
      <c r="BE76" s="13" t="s"/>
      <c r="BF76" s="13" t="s"/>
      <c r="BG76" s="13" t="s"/>
      <c r="BH76" s="13" t="s"/>
      <c r="BI76" s="13" t="s"/>
      <c r="BJ76" s="13" t="s"/>
      <c r="BK76" s="13" t="s"/>
    </row>
    <row r="77" ht="20" customHeight="true">
      <c r="A77" s="13" t="s">
        <v>364</v>
      </c>
      <c r="B77" s="13">
        <v>1061814104</v>
      </c>
      <c r="C77" s="13" t="s">
        <v>128</v>
      </c>
      <c r="D77" s="13" t="s">
        <v>129</v>
      </c>
      <c r="E77" s="13" t="s">
        <v>130</v>
      </c>
      <c r="F77" s="13">
        <v>130</v>
      </c>
      <c r="G77" s="13">
        <v>0</v>
      </c>
      <c r="H77" s="13">
        <v>2.912</v>
      </c>
      <c r="I77" s="13">
        <v>0.6</v>
      </c>
      <c r="J77" s="13" t="s">
        <v>365</v>
      </c>
      <c r="K77" s="13">
        <v>4016</v>
      </c>
      <c r="L77" s="13">
        <v>1081</v>
      </c>
      <c r="M77" s="13">
        <v>0.37</v>
      </c>
      <c r="N77" s="13">
        <v>4</v>
      </c>
      <c r="O77" s="13">
        <v>1366</v>
      </c>
      <c r="P77" s="13">
        <v>1004</v>
      </c>
      <c r="Q77" s="13">
        <v>27</v>
      </c>
      <c r="R77" s="13">
        <v>362</v>
      </c>
      <c r="S77" s="13">
        <v>1004</v>
      </c>
      <c r="T77" s="13">
        <v>48</v>
      </c>
      <c r="U77" s="13">
        <v>651</v>
      </c>
      <c r="V77" s="13" t="s">
        <v>132</v>
      </c>
      <c r="W77" s="13">
        <v>502</v>
      </c>
      <c r="X77" s="13" t="s">
        <v>133</v>
      </c>
      <c r="Y77" s="13" t="s">
        <v>134</v>
      </c>
      <c r="Z77" s="13" t="s"/>
      <c r="AA77" s="13" t="s">
        <v>218</v>
      </c>
      <c r="AB77" s="13" t="s">
        <v>172</v>
      </c>
      <c r="AC77" s="13" t="s">
        <v>173</v>
      </c>
      <c r="AD77" s="13" t="s">
        <v>138</v>
      </c>
      <c r="AE77" s="13" t="s">
        <v>138</v>
      </c>
      <c r="AF77" s="13">
        <v>0</v>
      </c>
      <c r="AG77" s="13">
        <v>520</v>
      </c>
      <c r="AH77" s="13">
        <v>520</v>
      </c>
      <c r="AI77" s="13" t="s">
        <v>366</v>
      </c>
      <c r="AJ77" s="13" t="s">
        <v>366</v>
      </c>
      <c r="AK77" s="13" t="s">
        <v>140</v>
      </c>
      <c r="AL77" s="13">
        <v>0</v>
      </c>
      <c r="AM77" s="13">
        <v>1.21</v>
      </c>
      <c r="AN77" s="13">
        <v>1.21</v>
      </c>
      <c r="AO77" s="13">
        <v>10.04</v>
      </c>
      <c r="AP77" s="13">
        <v>38</v>
      </c>
      <c r="AQ77" s="13">
        <v>74</v>
      </c>
      <c r="AR77" s="13">
        <v>356.48</v>
      </c>
      <c r="AS77" s="13">
        <v>25</v>
      </c>
      <c r="AT77" s="13">
        <v>0</v>
      </c>
      <c r="AU77" s="13">
        <v>47</v>
      </c>
      <c r="AV77" s="13">
        <v>10</v>
      </c>
      <c r="AW77" s="13">
        <v>30</v>
      </c>
      <c r="AX77" s="13">
        <v>0</v>
      </c>
      <c r="AY77" s="13">
        <v>74</v>
      </c>
      <c r="AZ77" s="13">
        <v>236</v>
      </c>
      <c r="BA77" s="13">
        <v>25</v>
      </c>
      <c r="BB77" s="13" t="s"/>
      <c r="BC77" s="13" t="s"/>
      <c r="BD77" s="1">
        <f>=IF(IF(BC77&lt;&gt;"",IF(BB77&lt;&gt;"",CEILING(((BB77-BC77)/BB77)*100,1),IF(AND(O77&lt;&gt;"",O77&gt;0),CEILING((((O77-BC77)/O77)*100),1),"")),"")&gt;=0,IF(BC77&lt;&gt;"",IF(BB77&lt;&gt;"",CEILING(((BB77-BC77)/BB77)*100,1),IF(AND(O77&lt;&gt;"",O77&gt;0),CEILING((((O77-BC77)/O77)*100),1),"")),""), "Ошибка: цена до скидки должна быть больше текущей.")</f>
      </c>
      <c r="BE77" s="13" t="s"/>
      <c r="BF77" s="13" t="s"/>
      <c r="BG77" s="13" t="s"/>
      <c r="BH77" s="13" t="s"/>
      <c r="BI77" s="13" t="s"/>
      <c r="BJ77" s="13" t="s"/>
      <c r="BK77" s="13" t="s"/>
    </row>
    <row r="78" ht="20" customHeight="true">
      <c r="A78" s="13" t="s">
        <v>367</v>
      </c>
      <c r="B78" s="13">
        <v>1061814159</v>
      </c>
      <c r="C78" s="13" t="s">
        <v>128</v>
      </c>
      <c r="D78" s="13" t="s">
        <v>129</v>
      </c>
      <c r="E78" s="13" t="s">
        <v>130</v>
      </c>
      <c r="F78" s="13">
        <v>310</v>
      </c>
      <c r="G78" s="13">
        <v>0</v>
      </c>
      <c r="H78" s="13">
        <v>2.912</v>
      </c>
      <c r="I78" s="13">
        <v>0.6</v>
      </c>
      <c r="J78" s="13" t="s">
        <v>368</v>
      </c>
      <c r="K78" s="13">
        <v>6024</v>
      </c>
      <c r="L78" s="13">
        <v>813</v>
      </c>
      <c r="M78" s="13">
        <v>0.74</v>
      </c>
      <c r="N78" s="13">
        <v>6</v>
      </c>
      <c r="O78" s="13">
        <v>1366</v>
      </c>
      <c r="P78" s="13">
        <v>1004</v>
      </c>
      <c r="Q78" s="13">
        <v>27</v>
      </c>
      <c r="R78" s="13">
        <v>362</v>
      </c>
      <c r="S78" s="13">
        <v>1004</v>
      </c>
      <c r="T78" s="13">
        <v>48</v>
      </c>
      <c r="U78" s="13">
        <v>651</v>
      </c>
      <c r="V78" s="13" t="s">
        <v>132</v>
      </c>
      <c r="W78" s="13">
        <v>502</v>
      </c>
      <c r="X78" s="13" t="s">
        <v>133</v>
      </c>
      <c r="Y78" s="13" t="s">
        <v>134</v>
      </c>
      <c r="Z78" s="13" t="s"/>
      <c r="AA78" s="13" t="s">
        <v>275</v>
      </c>
      <c r="AB78" s="13" t="s">
        <v>172</v>
      </c>
      <c r="AC78" s="13" t="s">
        <v>173</v>
      </c>
      <c r="AD78" s="13" t="s">
        <v>138</v>
      </c>
      <c r="AE78" s="13" t="s">
        <v>138</v>
      </c>
      <c r="AF78" s="13">
        <v>0</v>
      </c>
      <c r="AG78" s="13">
        <v>520</v>
      </c>
      <c r="AH78" s="13">
        <v>520</v>
      </c>
      <c r="AI78" s="13" t="s">
        <v>366</v>
      </c>
      <c r="AJ78" s="13" t="s">
        <v>366</v>
      </c>
      <c r="AK78" s="13" t="s">
        <v>140</v>
      </c>
      <c r="AL78" s="13">
        <v>0</v>
      </c>
      <c r="AM78" s="13">
        <v>1.21</v>
      </c>
      <c r="AN78" s="13">
        <v>1.21</v>
      </c>
      <c r="AO78" s="13">
        <v>10.04</v>
      </c>
      <c r="AP78" s="13">
        <v>38</v>
      </c>
      <c r="AQ78" s="13">
        <v>74</v>
      </c>
      <c r="AR78" s="13">
        <v>356.48</v>
      </c>
      <c r="AS78" s="13">
        <v>25</v>
      </c>
      <c r="AT78" s="13">
        <v>0</v>
      </c>
      <c r="AU78" s="13">
        <v>47</v>
      </c>
      <c r="AV78" s="13">
        <v>10</v>
      </c>
      <c r="AW78" s="13">
        <v>30</v>
      </c>
      <c r="AX78" s="13">
        <v>0</v>
      </c>
      <c r="AY78" s="13">
        <v>74</v>
      </c>
      <c r="AZ78" s="13">
        <v>236</v>
      </c>
      <c r="BA78" s="13">
        <v>25</v>
      </c>
      <c r="BB78" s="13" t="s"/>
      <c r="BC78" s="13" t="s"/>
      <c r="BD78" s="1">
        <f>=IF(IF(BC78&lt;&gt;"",IF(BB78&lt;&gt;"",CEILING(((BB78-BC78)/BB78)*100,1),IF(AND(O78&lt;&gt;"",O78&gt;0),CEILING((((O78-BC78)/O78)*100),1),"")),"")&gt;=0,IF(BC78&lt;&gt;"",IF(BB78&lt;&gt;"",CEILING(((BB78-BC78)/BB78)*100,1),IF(AND(O78&lt;&gt;"",O78&gt;0),CEILING((((O78-BC78)/O78)*100),1),"")),""), "Ошибка: цена до скидки должна быть больше текущей.")</f>
      </c>
      <c r="BE78" s="13" t="s"/>
      <c r="BF78" s="13" t="s"/>
      <c r="BG78" s="13" t="s"/>
      <c r="BH78" s="13" t="s"/>
      <c r="BI78" s="13" t="s"/>
      <c r="BJ78" s="13" t="s"/>
      <c r="BK78" s="13" t="s"/>
    </row>
    <row r="79" ht="20" customHeight="true">
      <c r="A79" s="13" t="s">
        <v>369</v>
      </c>
      <c r="B79" s="13">
        <v>1600566603</v>
      </c>
      <c r="C79" s="13" t="s">
        <v>128</v>
      </c>
      <c r="D79" s="13" t="s">
        <v>129</v>
      </c>
      <c r="E79" s="13" t="s">
        <v>130</v>
      </c>
      <c r="F79" s="13">
        <v>382</v>
      </c>
      <c r="G79" s="13">
        <v>0</v>
      </c>
      <c r="H79" s="13">
        <v>3</v>
      </c>
      <c r="I79" s="13">
        <v>0.6</v>
      </c>
      <c r="J79" s="13" t="s">
        <v>370</v>
      </c>
      <c r="K79" s="13">
        <v>3171</v>
      </c>
      <c r="L79" s="13">
        <v>1803</v>
      </c>
      <c r="M79" s="13">
        <v>0.17</v>
      </c>
      <c r="N79" s="13">
        <v>3</v>
      </c>
      <c r="O79" s="13">
        <v>1438</v>
      </c>
      <c r="P79" s="13">
        <v>1057</v>
      </c>
      <c r="Q79" s="13">
        <v>27</v>
      </c>
      <c r="R79" s="13">
        <v>381</v>
      </c>
      <c r="S79" s="13">
        <v>1057</v>
      </c>
      <c r="T79" s="13">
        <v>48</v>
      </c>
      <c r="U79" s="13">
        <v>677</v>
      </c>
      <c r="V79" s="13" t="s">
        <v>132</v>
      </c>
      <c r="W79" s="13">
        <v>529</v>
      </c>
      <c r="X79" s="13" t="s">
        <v>133</v>
      </c>
      <c r="Y79" s="13" t="s">
        <v>134</v>
      </c>
      <c r="Z79" s="13" t="s"/>
      <c r="AA79" s="13" t="s">
        <v>371</v>
      </c>
      <c r="AB79" s="13" t="s">
        <v>136</v>
      </c>
      <c r="AC79" s="13" t="s">
        <v>137</v>
      </c>
      <c r="AD79" s="13" t="s">
        <v>138</v>
      </c>
      <c r="AE79" s="13" t="s">
        <v>138</v>
      </c>
      <c r="AF79" s="13">
        <v>0</v>
      </c>
      <c r="AG79" s="13">
        <v>572</v>
      </c>
      <c r="AH79" s="13">
        <v>572</v>
      </c>
      <c r="AI79" s="13" t="s">
        <v>372</v>
      </c>
      <c r="AJ79" s="13" t="s">
        <v>372</v>
      </c>
      <c r="AK79" s="13" t="s">
        <v>140</v>
      </c>
      <c r="AL79" s="13">
        <v>0</v>
      </c>
      <c r="AM79" s="13">
        <v>1.18</v>
      </c>
      <c r="AN79" s="13">
        <v>1.18</v>
      </c>
      <c r="AO79" s="13">
        <v>10.57</v>
      </c>
      <c r="AP79" s="13">
        <v>38</v>
      </c>
      <c r="AQ79" s="13">
        <v>74</v>
      </c>
      <c r="AR79" s="13">
        <v>362.84</v>
      </c>
      <c r="AS79" s="13">
        <v>25</v>
      </c>
      <c r="AT79" s="13">
        <v>0</v>
      </c>
      <c r="AU79" s="13">
        <v>47</v>
      </c>
      <c r="AV79" s="13">
        <v>10</v>
      </c>
      <c r="AW79" s="13">
        <v>30</v>
      </c>
      <c r="AX79" s="13">
        <v>0</v>
      </c>
      <c r="AY79" s="13">
        <v>74</v>
      </c>
      <c r="AZ79" s="13">
        <v>236</v>
      </c>
      <c r="BA79" s="13">
        <v>25</v>
      </c>
      <c r="BB79" s="13" t="s"/>
      <c r="BC79" s="13" t="s"/>
      <c r="BD79" s="1">
        <f>=IF(IF(BC79&lt;&gt;"",IF(BB79&lt;&gt;"",CEILING(((BB79-BC79)/BB79)*100,1),IF(AND(O79&lt;&gt;"",O79&gt;0),CEILING((((O79-BC79)/O79)*100),1),"")),"")&gt;=0,IF(BC79&lt;&gt;"",IF(BB79&lt;&gt;"",CEILING(((BB79-BC79)/BB79)*100,1),IF(AND(O79&lt;&gt;"",O79&gt;0),CEILING((((O79-BC79)/O79)*100),1),"")),""), "Ошибка: цена до скидки должна быть больше текущей.")</f>
      </c>
      <c r="BE79" s="13" t="s"/>
      <c r="BF79" s="13" t="s"/>
      <c r="BG79" s="13" t="s"/>
      <c r="BH79" s="13" t="s"/>
      <c r="BI79" s="13" t="s"/>
      <c r="BJ79" s="13" t="s"/>
      <c r="BK79" s="13" t="s"/>
    </row>
    <row r="80" ht="20" customHeight="true">
      <c r="A80" s="13" t="s">
        <v>373</v>
      </c>
      <c r="B80" s="13">
        <v>1601650993</v>
      </c>
      <c r="C80" s="13" t="s">
        <v>128</v>
      </c>
      <c r="D80" s="13" t="s">
        <v>129</v>
      </c>
      <c r="E80" s="13" t="s">
        <v>130</v>
      </c>
      <c r="F80" s="13">
        <v>882</v>
      </c>
      <c r="G80" s="13">
        <v>0</v>
      </c>
      <c r="H80" s="13">
        <v>2.182992</v>
      </c>
      <c r="I80" s="13">
        <v>0.4</v>
      </c>
      <c r="J80" s="13" t="s">
        <v>374</v>
      </c>
      <c r="K80" s="13">
        <v>7399</v>
      </c>
      <c r="L80" s="13">
        <v>3065</v>
      </c>
      <c r="M80" s="13">
        <v>0.23</v>
      </c>
      <c r="N80" s="13">
        <v>7</v>
      </c>
      <c r="O80" s="13">
        <v>1438</v>
      </c>
      <c r="P80" s="13">
        <v>1057</v>
      </c>
      <c r="Q80" s="13">
        <v>27</v>
      </c>
      <c r="R80" s="13">
        <v>381</v>
      </c>
      <c r="S80" s="13">
        <v>1057</v>
      </c>
      <c r="T80" s="13">
        <v>48</v>
      </c>
      <c r="U80" s="13">
        <v>681</v>
      </c>
      <c r="V80" s="13" t="s">
        <v>132</v>
      </c>
      <c r="W80" s="13">
        <v>529</v>
      </c>
      <c r="X80" s="13" t="s">
        <v>133</v>
      </c>
      <c r="Y80" s="13" t="s">
        <v>134</v>
      </c>
      <c r="Z80" s="13" t="s"/>
      <c r="AA80" s="13" t="s">
        <v>296</v>
      </c>
      <c r="AB80" s="13" t="s">
        <v>154</v>
      </c>
      <c r="AC80" s="13" t="s">
        <v>155</v>
      </c>
      <c r="AD80" s="13" t="s">
        <v>138</v>
      </c>
      <c r="AE80" s="13" t="s">
        <v>138</v>
      </c>
      <c r="AF80" s="13">
        <v>0</v>
      </c>
      <c r="AG80" s="13">
        <v>572</v>
      </c>
      <c r="AH80" s="13">
        <v>572</v>
      </c>
      <c r="AI80" s="13" t="s">
        <v>375</v>
      </c>
      <c r="AJ80" s="13" t="s">
        <v>375</v>
      </c>
      <c r="AK80" s="13" t="s">
        <v>140</v>
      </c>
      <c r="AL80" s="13">
        <v>0</v>
      </c>
      <c r="AM80" s="13">
        <v>1.17</v>
      </c>
      <c r="AN80" s="13">
        <v>1.17</v>
      </c>
      <c r="AO80" s="13">
        <v>10.57</v>
      </c>
      <c r="AP80" s="13">
        <v>38</v>
      </c>
      <c r="AQ80" s="13">
        <v>74</v>
      </c>
      <c r="AR80" s="13">
        <v>362.84</v>
      </c>
      <c r="AS80" s="13">
        <v>25</v>
      </c>
      <c r="AT80" s="13">
        <v>0</v>
      </c>
      <c r="AU80" s="13">
        <v>47</v>
      </c>
      <c r="AV80" s="13">
        <v>10</v>
      </c>
      <c r="AW80" s="13">
        <v>30</v>
      </c>
      <c r="AX80" s="13">
        <v>0</v>
      </c>
      <c r="AY80" s="13">
        <v>74</v>
      </c>
      <c r="AZ80" s="13">
        <v>236</v>
      </c>
      <c r="BA80" s="13">
        <v>25</v>
      </c>
      <c r="BB80" s="13" t="s"/>
      <c r="BC80" s="13" t="s"/>
      <c r="BD80" s="1">
        <f>=IF(IF(BC80&lt;&gt;"",IF(BB80&lt;&gt;"",CEILING(((BB80-BC80)/BB80)*100,1),IF(AND(O80&lt;&gt;"",O80&gt;0),CEILING((((O80-BC80)/O80)*100),1),"")),"")&gt;=0,IF(BC80&lt;&gt;"",IF(BB80&lt;&gt;"",CEILING(((BB80-BC80)/BB80)*100,1),IF(AND(O80&lt;&gt;"",O80&gt;0),CEILING((((O80-BC80)/O80)*100),1),"")),""), "Ошибка: цена до скидки должна быть больше текущей.")</f>
      </c>
      <c r="BE80" s="13" t="s"/>
      <c r="BF80" s="13" t="s"/>
      <c r="BG80" s="13" t="s"/>
      <c r="BH80" s="13" t="s"/>
      <c r="BI80" s="13" t="s"/>
      <c r="BJ80" s="13" t="s"/>
      <c r="BK80" s="13" t="s"/>
    </row>
    <row r="81" ht="20" customHeight="true">
      <c r="A81" s="13" t="s">
        <v>376</v>
      </c>
      <c r="B81" s="13">
        <v>1601617328</v>
      </c>
      <c r="C81" s="13" t="s">
        <v>128</v>
      </c>
      <c r="D81" s="13" t="s">
        <v>129</v>
      </c>
      <c r="E81" s="13" t="s">
        <v>130</v>
      </c>
      <c r="F81" s="13">
        <v>187</v>
      </c>
      <c r="G81" s="13">
        <v>0</v>
      </c>
      <c r="H81" s="13">
        <v>2.912</v>
      </c>
      <c r="I81" s="13">
        <v>0.6</v>
      </c>
      <c r="J81" s="13" t="s">
        <v>377</v>
      </c>
      <c r="K81" s="13">
        <v>4228</v>
      </c>
      <c r="L81" s="13">
        <v>768</v>
      </c>
      <c r="M81" s="13">
        <v>0.52</v>
      </c>
      <c r="N81" s="13">
        <v>4</v>
      </c>
      <c r="O81" s="13">
        <v>1438</v>
      </c>
      <c r="P81" s="13">
        <v>1057</v>
      </c>
      <c r="Q81" s="13">
        <v>27</v>
      </c>
      <c r="R81" s="13">
        <v>381</v>
      </c>
      <c r="S81" s="13">
        <v>1057</v>
      </c>
      <c r="T81" s="13">
        <v>48</v>
      </c>
      <c r="U81" s="13">
        <v>681</v>
      </c>
      <c r="V81" s="13" t="s">
        <v>132</v>
      </c>
      <c r="W81" s="13">
        <v>529</v>
      </c>
      <c r="X81" s="13" t="s">
        <v>133</v>
      </c>
      <c r="Y81" s="13" t="s">
        <v>134</v>
      </c>
      <c r="Z81" s="13" t="s"/>
      <c r="AA81" s="13" t="s">
        <v>234</v>
      </c>
      <c r="AB81" s="13" t="s">
        <v>154</v>
      </c>
      <c r="AC81" s="13" t="s">
        <v>155</v>
      </c>
      <c r="AD81" s="13" t="s">
        <v>138</v>
      </c>
      <c r="AE81" s="13" t="s">
        <v>138</v>
      </c>
      <c r="AF81" s="13">
        <v>0</v>
      </c>
      <c r="AG81" s="13">
        <v>572</v>
      </c>
      <c r="AH81" s="13">
        <v>572</v>
      </c>
      <c r="AI81" s="13" t="s">
        <v>378</v>
      </c>
      <c r="AJ81" s="13" t="s">
        <v>378</v>
      </c>
      <c r="AK81" s="13" t="s">
        <v>140</v>
      </c>
      <c r="AL81" s="13">
        <v>0</v>
      </c>
      <c r="AM81" s="13">
        <v>1.17</v>
      </c>
      <c r="AN81" s="13">
        <v>1.17</v>
      </c>
      <c r="AO81" s="13">
        <v>10.57</v>
      </c>
      <c r="AP81" s="13">
        <v>38</v>
      </c>
      <c r="AQ81" s="13">
        <v>74</v>
      </c>
      <c r="AR81" s="13">
        <v>362.84</v>
      </c>
      <c r="AS81" s="13">
        <v>25</v>
      </c>
      <c r="AT81" s="13">
        <v>0</v>
      </c>
      <c r="AU81" s="13">
        <v>47</v>
      </c>
      <c r="AV81" s="13">
        <v>10</v>
      </c>
      <c r="AW81" s="13">
        <v>30</v>
      </c>
      <c r="AX81" s="13">
        <v>0</v>
      </c>
      <c r="AY81" s="13">
        <v>74</v>
      </c>
      <c r="AZ81" s="13">
        <v>236</v>
      </c>
      <c r="BA81" s="13">
        <v>25</v>
      </c>
      <c r="BB81" s="13" t="s"/>
      <c r="BC81" s="13" t="s"/>
      <c r="BD81" s="1">
        <f>=IF(IF(BC81&lt;&gt;"",IF(BB81&lt;&gt;"",CEILING(((BB81-BC81)/BB81)*100,1),IF(AND(O81&lt;&gt;"",O81&gt;0),CEILING((((O81-BC81)/O81)*100),1),"")),"")&gt;=0,IF(BC81&lt;&gt;"",IF(BB81&lt;&gt;"",CEILING(((BB81-BC81)/BB81)*100,1),IF(AND(O81&lt;&gt;"",O81&gt;0),CEILING((((O81-BC81)/O81)*100),1),"")),""), "Ошибка: цена до скидки должна быть больше текущей.")</f>
      </c>
      <c r="BE81" s="13" t="s"/>
      <c r="BF81" s="13" t="s"/>
      <c r="BG81" s="13" t="s"/>
      <c r="BH81" s="13" t="s"/>
      <c r="BI81" s="13" t="s"/>
      <c r="BJ81" s="13" t="s"/>
      <c r="BK81" s="13" t="s"/>
    </row>
    <row r="82" ht="20" customHeight="true">
      <c r="A82" s="13" t="s">
        <v>379</v>
      </c>
      <c r="B82" s="13">
        <v>1600566519</v>
      </c>
      <c r="C82" s="13" t="s">
        <v>128</v>
      </c>
      <c r="D82" s="13" t="s">
        <v>129</v>
      </c>
      <c r="E82" s="13" t="s">
        <v>130</v>
      </c>
      <c r="F82" s="13">
        <v>293</v>
      </c>
      <c r="G82" s="13">
        <v>0</v>
      </c>
      <c r="H82" s="13">
        <v>2.912</v>
      </c>
      <c r="I82" s="13">
        <v>0.6</v>
      </c>
      <c r="J82" s="13" t="s">
        <v>380</v>
      </c>
      <c r="K82" s="13">
        <v>8456</v>
      </c>
      <c r="L82" s="13">
        <v>1003</v>
      </c>
      <c r="M82" s="13">
        <v>0.8</v>
      </c>
      <c r="N82" s="13">
        <v>8</v>
      </c>
      <c r="O82" s="13">
        <v>1438</v>
      </c>
      <c r="P82" s="13">
        <v>1057</v>
      </c>
      <c r="Q82" s="13">
        <v>27</v>
      </c>
      <c r="R82" s="13">
        <v>381</v>
      </c>
      <c r="S82" s="13">
        <v>1057</v>
      </c>
      <c r="T82" s="13">
        <v>48</v>
      </c>
      <c r="U82" s="13">
        <v>681</v>
      </c>
      <c r="V82" s="13" t="s">
        <v>132</v>
      </c>
      <c r="W82" s="13">
        <v>529</v>
      </c>
      <c r="X82" s="13" t="s">
        <v>133</v>
      </c>
      <c r="Y82" s="13" t="s">
        <v>134</v>
      </c>
      <c r="Z82" s="13" t="s"/>
      <c r="AA82" s="13" t="s">
        <v>242</v>
      </c>
      <c r="AB82" s="13" t="s">
        <v>191</v>
      </c>
      <c r="AC82" s="13" t="s">
        <v>177</v>
      </c>
      <c r="AD82" s="13" t="s">
        <v>138</v>
      </c>
      <c r="AE82" s="13" t="s">
        <v>138</v>
      </c>
      <c r="AF82" s="13">
        <v>0</v>
      </c>
      <c r="AG82" s="13">
        <v>572</v>
      </c>
      <c r="AH82" s="13">
        <v>572</v>
      </c>
      <c r="AI82" s="13" t="s">
        <v>381</v>
      </c>
      <c r="AJ82" s="13" t="s">
        <v>381</v>
      </c>
      <c r="AK82" s="13" t="s">
        <v>140</v>
      </c>
      <c r="AL82" s="13">
        <v>0</v>
      </c>
      <c r="AM82" s="13">
        <v>1.17</v>
      </c>
      <c r="AN82" s="13">
        <v>1.17</v>
      </c>
      <c r="AO82" s="13">
        <v>10.57</v>
      </c>
      <c r="AP82" s="13">
        <v>38</v>
      </c>
      <c r="AQ82" s="13">
        <v>74</v>
      </c>
      <c r="AR82" s="13">
        <v>362.84</v>
      </c>
      <c r="AS82" s="13">
        <v>25</v>
      </c>
      <c r="AT82" s="13">
        <v>0</v>
      </c>
      <c r="AU82" s="13">
        <v>47</v>
      </c>
      <c r="AV82" s="13">
        <v>10</v>
      </c>
      <c r="AW82" s="13">
        <v>30</v>
      </c>
      <c r="AX82" s="13">
        <v>0</v>
      </c>
      <c r="AY82" s="13">
        <v>74</v>
      </c>
      <c r="AZ82" s="13">
        <v>236</v>
      </c>
      <c r="BA82" s="13">
        <v>25</v>
      </c>
      <c r="BB82" s="13" t="s"/>
      <c r="BC82" s="13" t="s"/>
      <c r="BD82" s="1">
        <f>=IF(IF(BC82&lt;&gt;"",IF(BB82&lt;&gt;"",CEILING(((BB82-BC82)/BB82)*100,1),IF(AND(O82&lt;&gt;"",O82&gt;0),CEILING((((O82-BC82)/O82)*100),1),"")),"")&gt;=0,IF(BC82&lt;&gt;"",IF(BB82&lt;&gt;"",CEILING(((BB82-BC82)/BB82)*100,1),IF(AND(O82&lt;&gt;"",O82&gt;0),CEILING((((O82-BC82)/O82)*100),1),"")),""), "Ошибка: цена до скидки должна быть больше текущей.")</f>
      </c>
      <c r="BE82" s="13" t="s"/>
      <c r="BF82" s="13" t="s"/>
      <c r="BG82" s="13" t="s"/>
      <c r="BH82" s="13" t="s"/>
      <c r="BI82" s="13" t="s"/>
      <c r="BJ82" s="13" t="s"/>
      <c r="BK82" s="13" t="s"/>
    </row>
    <row r="83" ht="20" customHeight="true">
      <c r="A83" s="13" t="s">
        <v>382</v>
      </c>
      <c r="B83" s="13">
        <v>1601650984</v>
      </c>
      <c r="C83" s="13" t="s">
        <v>128</v>
      </c>
      <c r="D83" s="13" t="s">
        <v>129</v>
      </c>
      <c r="E83" s="13" t="s">
        <v>130</v>
      </c>
      <c r="F83" s="13">
        <v>818</v>
      </c>
      <c r="G83" s="13">
        <v>0</v>
      </c>
      <c r="H83" s="13">
        <v>2.8611</v>
      </c>
      <c r="I83" s="13">
        <v>0.6</v>
      </c>
      <c r="J83" s="13" t="s">
        <v>383</v>
      </c>
      <c r="K83" s="13">
        <v>4228</v>
      </c>
      <c r="L83" s="13">
        <v>1782</v>
      </c>
      <c r="M83" s="13">
        <v>0.22</v>
      </c>
      <c r="N83" s="13">
        <v>4</v>
      </c>
      <c r="O83" s="13">
        <v>1438</v>
      </c>
      <c r="P83" s="13">
        <v>1057</v>
      </c>
      <c r="Q83" s="13">
        <v>27</v>
      </c>
      <c r="R83" s="13">
        <v>381</v>
      </c>
      <c r="S83" s="13">
        <v>1057</v>
      </c>
      <c r="T83" s="13">
        <v>48</v>
      </c>
      <c r="U83" s="13">
        <v>681</v>
      </c>
      <c r="V83" s="13" t="s">
        <v>132</v>
      </c>
      <c r="W83" s="13">
        <v>529</v>
      </c>
      <c r="X83" s="13" t="s">
        <v>133</v>
      </c>
      <c r="Y83" s="13" t="s">
        <v>134</v>
      </c>
      <c r="Z83" s="13" t="s"/>
      <c r="AA83" s="13" t="s">
        <v>384</v>
      </c>
      <c r="AB83" s="13" t="s">
        <v>154</v>
      </c>
      <c r="AC83" s="13" t="s">
        <v>155</v>
      </c>
      <c r="AD83" s="13" t="s">
        <v>138</v>
      </c>
      <c r="AE83" s="13" t="s">
        <v>138</v>
      </c>
      <c r="AF83" s="13">
        <v>0</v>
      </c>
      <c r="AG83" s="13">
        <v>572</v>
      </c>
      <c r="AH83" s="13">
        <v>572</v>
      </c>
      <c r="AI83" s="13" t="s">
        <v>375</v>
      </c>
      <c r="AJ83" s="13" t="s">
        <v>375</v>
      </c>
      <c r="AK83" s="13" t="s">
        <v>140</v>
      </c>
      <c r="AL83" s="13">
        <v>0</v>
      </c>
      <c r="AM83" s="13">
        <v>1.17</v>
      </c>
      <c r="AN83" s="13">
        <v>1.17</v>
      </c>
      <c r="AO83" s="13">
        <v>10.57</v>
      </c>
      <c r="AP83" s="13">
        <v>38</v>
      </c>
      <c r="AQ83" s="13">
        <v>74</v>
      </c>
      <c r="AR83" s="13">
        <v>362.84</v>
      </c>
      <c r="AS83" s="13">
        <v>25</v>
      </c>
      <c r="AT83" s="13">
        <v>0</v>
      </c>
      <c r="AU83" s="13">
        <v>47</v>
      </c>
      <c r="AV83" s="13">
        <v>10</v>
      </c>
      <c r="AW83" s="13">
        <v>30</v>
      </c>
      <c r="AX83" s="13">
        <v>0</v>
      </c>
      <c r="AY83" s="13">
        <v>74</v>
      </c>
      <c r="AZ83" s="13">
        <v>236</v>
      </c>
      <c r="BA83" s="13">
        <v>25</v>
      </c>
      <c r="BB83" s="13" t="s"/>
      <c r="BC83" s="13" t="s"/>
      <c r="BD83" s="1">
        <f>=IF(IF(BC83&lt;&gt;"",IF(BB83&lt;&gt;"",CEILING(((BB83-BC83)/BB83)*100,1),IF(AND(O83&lt;&gt;"",O83&gt;0),CEILING((((O83-BC83)/O83)*100),1),"")),"")&gt;=0,IF(BC83&lt;&gt;"",IF(BB83&lt;&gt;"",CEILING(((BB83-BC83)/BB83)*100,1),IF(AND(O83&lt;&gt;"",O83&gt;0),CEILING((((O83-BC83)/O83)*100),1),"")),""), "Ошибка: цена до скидки должна быть больше текущей.")</f>
      </c>
      <c r="BE83" s="13" t="s"/>
      <c r="BF83" s="13" t="s"/>
      <c r="BG83" s="13" t="s"/>
      <c r="BH83" s="13" t="s"/>
      <c r="BI83" s="13" t="s"/>
      <c r="BJ83" s="13" t="s"/>
      <c r="BK83" s="13" t="s"/>
    </row>
    <row r="84" ht="20" customHeight="true">
      <c r="A84" s="13" t="s">
        <v>385</v>
      </c>
      <c r="B84" s="13">
        <v>1601650130</v>
      </c>
      <c r="C84" s="13" t="s">
        <v>128</v>
      </c>
      <c r="D84" s="13" t="s">
        <v>129</v>
      </c>
      <c r="E84" s="13" t="s">
        <v>130</v>
      </c>
      <c r="F84" s="13">
        <v>703</v>
      </c>
      <c r="G84" s="13">
        <v>0</v>
      </c>
      <c r="H84" s="13">
        <v>3</v>
      </c>
      <c r="I84" s="13">
        <v>0.6</v>
      </c>
      <c r="J84" s="13" t="s">
        <v>386</v>
      </c>
      <c r="K84" s="13">
        <v>8456</v>
      </c>
      <c r="L84" s="13">
        <v>1691</v>
      </c>
      <c r="M84" s="13">
        <v>0.47</v>
      </c>
      <c r="N84" s="13">
        <v>8</v>
      </c>
      <c r="O84" s="13">
        <v>1438</v>
      </c>
      <c r="P84" s="13">
        <v>1057</v>
      </c>
      <c r="Q84" s="13">
        <v>27</v>
      </c>
      <c r="R84" s="13">
        <v>381</v>
      </c>
      <c r="S84" s="13">
        <v>1057</v>
      </c>
      <c r="T84" s="13">
        <v>48</v>
      </c>
      <c r="U84" s="13">
        <v>677</v>
      </c>
      <c r="V84" s="13" t="s">
        <v>132</v>
      </c>
      <c r="W84" s="13">
        <v>529</v>
      </c>
      <c r="X84" s="13" t="s">
        <v>133</v>
      </c>
      <c r="Y84" s="13" t="s">
        <v>134</v>
      </c>
      <c r="Z84" s="13" t="s"/>
      <c r="AA84" s="13" t="s">
        <v>387</v>
      </c>
      <c r="AB84" s="13" t="s">
        <v>180</v>
      </c>
      <c r="AC84" s="13" t="s">
        <v>181</v>
      </c>
      <c r="AD84" s="13" t="s">
        <v>138</v>
      </c>
      <c r="AE84" s="13" t="s">
        <v>138</v>
      </c>
      <c r="AF84" s="13">
        <v>0</v>
      </c>
      <c r="AG84" s="13">
        <v>572</v>
      </c>
      <c r="AH84" s="13">
        <v>572</v>
      </c>
      <c r="AI84" s="13" t="s">
        <v>388</v>
      </c>
      <c r="AJ84" s="13" t="s">
        <v>388</v>
      </c>
      <c r="AK84" s="13" t="s">
        <v>140</v>
      </c>
      <c r="AL84" s="13">
        <v>0</v>
      </c>
      <c r="AM84" s="13">
        <v>1.18</v>
      </c>
      <c r="AN84" s="13">
        <v>1.18</v>
      </c>
      <c r="AO84" s="13">
        <v>10.57</v>
      </c>
      <c r="AP84" s="13">
        <v>38</v>
      </c>
      <c r="AQ84" s="13">
        <v>74</v>
      </c>
      <c r="AR84" s="13">
        <v>362.84</v>
      </c>
      <c r="AS84" s="13">
        <v>25</v>
      </c>
      <c r="AT84" s="13">
        <v>0</v>
      </c>
      <c r="AU84" s="13">
        <v>47</v>
      </c>
      <c r="AV84" s="13">
        <v>10</v>
      </c>
      <c r="AW84" s="13">
        <v>30</v>
      </c>
      <c r="AX84" s="13">
        <v>0</v>
      </c>
      <c r="AY84" s="13">
        <v>74</v>
      </c>
      <c r="AZ84" s="13">
        <v>236</v>
      </c>
      <c r="BA84" s="13">
        <v>25</v>
      </c>
      <c r="BB84" s="13" t="s"/>
      <c r="BC84" s="13" t="s"/>
      <c r="BD84" s="1">
        <f>=IF(IF(BC84&lt;&gt;"",IF(BB84&lt;&gt;"",CEILING(((BB84-BC84)/BB84)*100,1),IF(AND(O84&lt;&gt;"",O84&gt;0),CEILING((((O84-BC84)/O84)*100),1),"")),"")&gt;=0,IF(BC84&lt;&gt;"",IF(BB84&lt;&gt;"",CEILING(((BB84-BC84)/BB84)*100,1),IF(AND(O84&lt;&gt;"",O84&gt;0),CEILING((((O84-BC84)/O84)*100),1),"")),""), "Ошибка: цена до скидки должна быть больше текущей.")</f>
      </c>
      <c r="BE84" s="13" t="s"/>
      <c r="BF84" s="13" t="s"/>
      <c r="BG84" s="13" t="s"/>
      <c r="BH84" s="13" t="s"/>
      <c r="BI84" s="13" t="s"/>
      <c r="BJ84" s="13" t="s"/>
      <c r="BK84" s="13" t="s"/>
    </row>
    <row r="85" ht="20" customHeight="true">
      <c r="A85" s="13" t="s">
        <v>389</v>
      </c>
      <c r="B85" s="13">
        <v>1600566574</v>
      </c>
      <c r="C85" s="13" t="s">
        <v>128</v>
      </c>
      <c r="D85" s="13" t="s">
        <v>129</v>
      </c>
      <c r="E85" s="13" t="s">
        <v>130</v>
      </c>
      <c r="F85" s="13">
        <v>224</v>
      </c>
      <c r="G85" s="13">
        <v>0</v>
      </c>
      <c r="H85" s="13">
        <v>1.782</v>
      </c>
      <c r="I85" s="13">
        <v>0.4</v>
      </c>
      <c r="J85" s="13" t="s">
        <v>390</v>
      </c>
      <c r="K85" s="13">
        <v>3171</v>
      </c>
      <c r="L85" s="13">
        <v>896</v>
      </c>
      <c r="M85" s="13">
        <v>0.33</v>
      </c>
      <c r="N85" s="13">
        <v>3</v>
      </c>
      <c r="O85" s="13">
        <v>1438</v>
      </c>
      <c r="P85" s="13">
        <v>1057</v>
      </c>
      <c r="Q85" s="13">
        <v>27</v>
      </c>
      <c r="R85" s="13">
        <v>381</v>
      </c>
      <c r="S85" s="13">
        <v>1057</v>
      </c>
      <c r="T85" s="13">
        <v>48</v>
      </c>
      <c r="U85" s="13">
        <v>686</v>
      </c>
      <c r="V85" s="13" t="s">
        <v>132</v>
      </c>
      <c r="W85" s="13">
        <v>529</v>
      </c>
      <c r="X85" s="13" t="s">
        <v>133</v>
      </c>
      <c r="Y85" s="13" t="s">
        <v>134</v>
      </c>
      <c r="Z85" s="13" t="s"/>
      <c r="AA85" s="13" t="s">
        <v>384</v>
      </c>
      <c r="AB85" s="13" t="s">
        <v>154</v>
      </c>
      <c r="AC85" s="13" t="s">
        <v>155</v>
      </c>
      <c r="AD85" s="13" t="s">
        <v>138</v>
      </c>
      <c r="AE85" s="13" t="s">
        <v>138</v>
      </c>
      <c r="AF85" s="13">
        <v>0</v>
      </c>
      <c r="AG85" s="13">
        <v>572</v>
      </c>
      <c r="AH85" s="13">
        <v>572</v>
      </c>
      <c r="AI85" s="13" t="s">
        <v>378</v>
      </c>
      <c r="AJ85" s="13" t="s">
        <v>378</v>
      </c>
      <c r="AK85" s="13" t="s">
        <v>140</v>
      </c>
      <c r="AL85" s="13">
        <v>0</v>
      </c>
      <c r="AM85" s="13">
        <v>1.17</v>
      </c>
      <c r="AN85" s="13">
        <v>1.17</v>
      </c>
      <c r="AO85" s="13">
        <v>10.57</v>
      </c>
      <c r="AP85" s="13">
        <v>38</v>
      </c>
      <c r="AQ85" s="13">
        <v>74</v>
      </c>
      <c r="AR85" s="13">
        <v>344.84</v>
      </c>
      <c r="AS85" s="13">
        <v>25</v>
      </c>
      <c r="AT85" s="13">
        <v>0</v>
      </c>
      <c r="AU85" s="13">
        <v>47</v>
      </c>
      <c r="AV85" s="13">
        <v>10</v>
      </c>
      <c r="AW85" s="13">
        <v>30</v>
      </c>
      <c r="AX85" s="13">
        <v>0</v>
      </c>
      <c r="AY85" s="13">
        <v>74</v>
      </c>
      <c r="AZ85" s="13">
        <v>218</v>
      </c>
      <c r="BA85" s="13">
        <v>25</v>
      </c>
      <c r="BB85" s="13" t="s"/>
      <c r="BC85" s="13" t="s"/>
      <c r="BD85" s="1">
        <f>=IF(IF(BC85&lt;&gt;"",IF(BB85&lt;&gt;"",CEILING(((BB85-BC85)/BB85)*100,1),IF(AND(O85&lt;&gt;"",O85&gt;0),CEILING((((O85-BC85)/O85)*100),1),"")),"")&gt;=0,IF(BC85&lt;&gt;"",IF(BB85&lt;&gt;"",CEILING(((BB85-BC85)/BB85)*100,1),IF(AND(O85&lt;&gt;"",O85&gt;0),CEILING((((O85-BC85)/O85)*100),1),"")),""), "Ошибка: цена до скидки должна быть больше текущей.")</f>
      </c>
      <c r="BE85" s="13" t="s"/>
      <c r="BF85" s="13" t="s"/>
      <c r="BG85" s="13" t="s"/>
      <c r="BH85" s="13" t="s"/>
      <c r="BI85" s="13" t="s"/>
      <c r="BJ85" s="13" t="s"/>
      <c r="BK85" s="13" t="s"/>
    </row>
    <row r="86" ht="20" customHeight="true">
      <c r="A86" s="13" t="s">
        <v>391</v>
      </c>
      <c r="B86" s="13">
        <v>1601649241</v>
      </c>
      <c r="C86" s="13" t="s">
        <v>128</v>
      </c>
      <c r="D86" s="13" t="s">
        <v>129</v>
      </c>
      <c r="E86" s="13" t="s">
        <v>130</v>
      </c>
      <c r="F86" s="13">
        <v>536</v>
      </c>
      <c r="G86" s="13">
        <v>0</v>
      </c>
      <c r="H86" s="13">
        <v>3</v>
      </c>
      <c r="I86" s="13">
        <v>0.6</v>
      </c>
      <c r="J86" s="13" t="s">
        <v>392</v>
      </c>
      <c r="K86" s="13">
        <v>6096</v>
      </c>
      <c r="L86" s="13">
        <v>1603</v>
      </c>
      <c r="M86" s="13">
        <v>0.37</v>
      </c>
      <c r="N86" s="13">
        <v>6</v>
      </c>
      <c r="O86" s="13">
        <v>1382</v>
      </c>
      <c r="P86" s="13">
        <v>1016</v>
      </c>
      <c r="Q86" s="13">
        <v>27</v>
      </c>
      <c r="R86" s="13">
        <v>366</v>
      </c>
      <c r="S86" s="13">
        <v>1016</v>
      </c>
      <c r="T86" s="13">
        <v>48</v>
      </c>
      <c r="U86" s="13">
        <v>653</v>
      </c>
      <c r="V86" s="13" t="s">
        <v>132</v>
      </c>
      <c r="W86" s="13">
        <v>508</v>
      </c>
      <c r="X86" s="13" t="s">
        <v>133</v>
      </c>
      <c r="Y86" s="13" t="s">
        <v>134</v>
      </c>
      <c r="Z86" s="13" t="s"/>
      <c r="AA86" s="13" t="s">
        <v>393</v>
      </c>
      <c r="AB86" s="13" t="s">
        <v>180</v>
      </c>
      <c r="AC86" s="13" t="s">
        <v>181</v>
      </c>
      <c r="AD86" s="13" t="s">
        <v>138</v>
      </c>
      <c r="AE86" s="13" t="s">
        <v>138</v>
      </c>
      <c r="AF86" s="13">
        <v>0</v>
      </c>
      <c r="AG86" s="13">
        <v>572</v>
      </c>
      <c r="AH86" s="13">
        <v>572</v>
      </c>
      <c r="AI86" s="13" t="s">
        <v>394</v>
      </c>
      <c r="AJ86" s="13" t="s">
        <v>394</v>
      </c>
      <c r="AK86" s="13" t="s">
        <v>140</v>
      </c>
      <c r="AL86" s="13">
        <v>0</v>
      </c>
      <c r="AM86" s="13">
        <v>1.14</v>
      </c>
      <c r="AN86" s="13">
        <v>1.14</v>
      </c>
      <c r="AO86" s="13">
        <v>10.16</v>
      </c>
      <c r="AP86" s="13">
        <v>38</v>
      </c>
      <c r="AQ86" s="13">
        <v>74</v>
      </c>
      <c r="AR86" s="13">
        <v>357.92</v>
      </c>
      <c r="AS86" s="13">
        <v>25</v>
      </c>
      <c r="AT86" s="13">
        <v>0</v>
      </c>
      <c r="AU86" s="13">
        <v>47</v>
      </c>
      <c r="AV86" s="13">
        <v>10</v>
      </c>
      <c r="AW86" s="13">
        <v>30</v>
      </c>
      <c r="AX86" s="13">
        <v>0</v>
      </c>
      <c r="AY86" s="13">
        <v>74</v>
      </c>
      <c r="AZ86" s="13">
        <v>236</v>
      </c>
      <c r="BA86" s="13">
        <v>25</v>
      </c>
      <c r="BB86" s="13" t="s"/>
      <c r="BC86" s="13" t="s"/>
      <c r="BD86" s="1">
        <f>=IF(IF(BC86&lt;&gt;"",IF(BB86&lt;&gt;"",CEILING(((BB86-BC86)/BB86)*100,1),IF(AND(O86&lt;&gt;"",O86&gt;0),CEILING((((O86-BC86)/O86)*100),1),"")),"")&gt;=0,IF(BC86&lt;&gt;"",IF(BB86&lt;&gt;"",CEILING(((BB86-BC86)/BB86)*100,1),IF(AND(O86&lt;&gt;"",O86&gt;0),CEILING((((O86-BC86)/O86)*100),1),"")),""), "Ошибка: цена до скидки должна быть больше текущей.")</f>
      </c>
      <c r="BE86" s="13" t="s"/>
      <c r="BF86" s="13" t="s"/>
      <c r="BG86" s="13" t="s"/>
      <c r="BH86" s="13" t="s"/>
      <c r="BI86" s="13" t="s"/>
      <c r="BJ86" s="13" t="s"/>
      <c r="BK86" s="13" t="s"/>
    </row>
    <row r="87" ht="20" customHeight="true">
      <c r="A87" s="13" t="s">
        <v>395</v>
      </c>
      <c r="B87" s="13">
        <v>1601610444</v>
      </c>
      <c r="C87" s="13" t="s">
        <v>128</v>
      </c>
      <c r="D87" s="13" t="s">
        <v>129</v>
      </c>
      <c r="E87" s="13" t="s">
        <v>130</v>
      </c>
      <c r="F87" s="13">
        <v>180</v>
      </c>
      <c r="G87" s="13">
        <v>0</v>
      </c>
      <c r="H87" s="13">
        <v>4.887995</v>
      </c>
      <c r="I87" s="13">
        <v>1</v>
      </c>
      <c r="J87" s="13" t="s">
        <v>396</v>
      </c>
      <c r="K87" s="13">
        <v>2114</v>
      </c>
      <c r="L87" s="13">
        <v>1075</v>
      </c>
      <c r="M87" s="13">
        <v>0.19</v>
      </c>
      <c r="N87" s="13">
        <v>2</v>
      </c>
      <c r="O87" s="13">
        <v>1438</v>
      </c>
      <c r="P87" s="13">
        <v>1057</v>
      </c>
      <c r="Q87" s="13">
        <v>27</v>
      </c>
      <c r="R87" s="13">
        <v>381</v>
      </c>
      <c r="S87" s="13">
        <v>1057</v>
      </c>
      <c r="T87" s="13">
        <v>48</v>
      </c>
      <c r="U87" s="13">
        <v>686</v>
      </c>
      <c r="V87" s="13" t="s">
        <v>132</v>
      </c>
      <c r="W87" s="13">
        <v>529</v>
      </c>
      <c r="X87" s="13" t="s">
        <v>133</v>
      </c>
      <c r="Y87" s="13" t="s">
        <v>134</v>
      </c>
      <c r="Z87" s="13" t="s"/>
      <c r="AA87" s="13" t="s">
        <v>397</v>
      </c>
      <c r="AB87" s="13" t="s">
        <v>136</v>
      </c>
      <c r="AC87" s="13" t="s">
        <v>137</v>
      </c>
      <c r="AD87" s="13" t="s">
        <v>138</v>
      </c>
      <c r="AE87" s="13" t="s">
        <v>138</v>
      </c>
      <c r="AF87" s="13">
        <v>0</v>
      </c>
      <c r="AG87" s="13">
        <v>572</v>
      </c>
      <c r="AH87" s="13">
        <v>572</v>
      </c>
      <c r="AI87" s="13" t="s">
        <v>398</v>
      </c>
      <c r="AJ87" s="13" t="s">
        <v>398</v>
      </c>
      <c r="AK87" s="13" t="s">
        <v>140</v>
      </c>
      <c r="AL87" s="13">
        <v>0</v>
      </c>
      <c r="AM87" s="13">
        <v>1.17</v>
      </c>
      <c r="AN87" s="13">
        <v>1.17</v>
      </c>
      <c r="AO87" s="13">
        <v>10.57</v>
      </c>
      <c r="AP87" s="13">
        <v>38</v>
      </c>
      <c r="AQ87" s="13">
        <v>89</v>
      </c>
      <c r="AR87" s="13">
        <v>503.84</v>
      </c>
      <c r="AS87" s="13">
        <v>25</v>
      </c>
      <c r="AT87" s="13">
        <v>0</v>
      </c>
      <c r="AU87" s="13">
        <v>47</v>
      </c>
      <c r="AV87" s="13">
        <v>10</v>
      </c>
      <c r="AW87" s="13">
        <v>30</v>
      </c>
      <c r="AX87" s="13">
        <v>0</v>
      </c>
      <c r="AY87" s="13">
        <v>89</v>
      </c>
      <c r="AZ87" s="13">
        <v>377</v>
      </c>
      <c r="BA87" s="13">
        <v>25</v>
      </c>
      <c r="BB87" s="13" t="s"/>
      <c r="BC87" s="13" t="s"/>
      <c r="BD87" s="1">
        <f>=IF(IF(BC87&lt;&gt;"",IF(BB87&lt;&gt;"",CEILING(((BB87-BC87)/BB87)*100,1),IF(AND(O87&lt;&gt;"",O87&gt;0),CEILING((((O87-BC87)/O87)*100),1),"")),"")&gt;=0,IF(BC87&lt;&gt;"",IF(BB87&lt;&gt;"",CEILING(((BB87-BC87)/BB87)*100,1),IF(AND(O87&lt;&gt;"",O87&gt;0),CEILING((((O87-BC87)/O87)*100),1),"")),""), "Ошибка: цена до скидки должна быть больше текущей.")</f>
      </c>
      <c r="BE87" s="13" t="s"/>
      <c r="BF87" s="13" t="s"/>
      <c r="BG87" s="13" t="s"/>
      <c r="BH87" s="13" t="s"/>
      <c r="BI87" s="13" t="s"/>
      <c r="BJ87" s="13" t="s"/>
      <c r="BK87" s="13" t="s"/>
    </row>
    <row r="88" ht="20" customHeight="true">
      <c r="A88" s="13" t="s">
        <v>399</v>
      </c>
      <c r="B88" s="13">
        <v>1601650018</v>
      </c>
      <c r="C88" s="13" t="s">
        <v>128</v>
      </c>
      <c r="D88" s="13" t="s">
        <v>129</v>
      </c>
      <c r="E88" s="13" t="s">
        <v>130</v>
      </c>
      <c r="F88" s="13">
        <v>691</v>
      </c>
      <c r="G88" s="13">
        <v>0</v>
      </c>
      <c r="H88" s="13">
        <v>3</v>
      </c>
      <c r="I88" s="13">
        <v>0.6</v>
      </c>
      <c r="J88" s="13" t="s">
        <v>400</v>
      </c>
      <c r="K88" s="13">
        <v>7399</v>
      </c>
      <c r="L88" s="13">
        <v>1462</v>
      </c>
      <c r="M88" s="13">
        <v>0.48</v>
      </c>
      <c r="N88" s="13">
        <v>7</v>
      </c>
      <c r="O88" s="13">
        <v>1438</v>
      </c>
      <c r="P88" s="13">
        <v>1057</v>
      </c>
      <c r="Q88" s="13">
        <v>27</v>
      </c>
      <c r="R88" s="13">
        <v>381</v>
      </c>
      <c r="S88" s="13">
        <v>1057</v>
      </c>
      <c r="T88" s="13">
        <v>48</v>
      </c>
      <c r="U88" s="13">
        <v>677</v>
      </c>
      <c r="V88" s="13" t="s">
        <v>132</v>
      </c>
      <c r="W88" s="13">
        <v>529</v>
      </c>
      <c r="X88" s="13" t="s">
        <v>133</v>
      </c>
      <c r="Y88" s="13" t="s">
        <v>134</v>
      </c>
      <c r="Z88" s="13" t="s"/>
      <c r="AA88" s="13" t="s">
        <v>401</v>
      </c>
      <c r="AB88" s="13" t="s">
        <v>172</v>
      </c>
      <c r="AC88" s="13" t="s">
        <v>173</v>
      </c>
      <c r="AD88" s="13" t="s">
        <v>138</v>
      </c>
      <c r="AE88" s="13" t="s">
        <v>138</v>
      </c>
      <c r="AF88" s="13">
        <v>0</v>
      </c>
      <c r="AG88" s="13">
        <v>572</v>
      </c>
      <c r="AH88" s="13">
        <v>572</v>
      </c>
      <c r="AI88" s="13" t="s">
        <v>388</v>
      </c>
      <c r="AJ88" s="13" t="s">
        <v>388</v>
      </c>
      <c r="AK88" s="13" t="s">
        <v>140</v>
      </c>
      <c r="AL88" s="13">
        <v>0</v>
      </c>
      <c r="AM88" s="13">
        <v>1.18</v>
      </c>
      <c r="AN88" s="13">
        <v>1.18</v>
      </c>
      <c r="AO88" s="13">
        <v>10.57</v>
      </c>
      <c r="AP88" s="13">
        <v>38</v>
      </c>
      <c r="AQ88" s="13">
        <v>74</v>
      </c>
      <c r="AR88" s="13">
        <v>362.84</v>
      </c>
      <c r="AS88" s="13">
        <v>25</v>
      </c>
      <c r="AT88" s="13">
        <v>0</v>
      </c>
      <c r="AU88" s="13">
        <v>47</v>
      </c>
      <c r="AV88" s="13">
        <v>10</v>
      </c>
      <c r="AW88" s="13">
        <v>30</v>
      </c>
      <c r="AX88" s="13">
        <v>0</v>
      </c>
      <c r="AY88" s="13">
        <v>74</v>
      </c>
      <c r="AZ88" s="13">
        <v>236</v>
      </c>
      <c r="BA88" s="13">
        <v>25</v>
      </c>
      <c r="BB88" s="13" t="s"/>
      <c r="BC88" s="13" t="s"/>
      <c r="BD88" s="1">
        <f>=IF(IF(BC88&lt;&gt;"",IF(BB88&lt;&gt;"",CEILING(((BB88-BC88)/BB88)*100,1),IF(AND(O88&lt;&gt;"",O88&gt;0),CEILING((((O88-BC88)/O88)*100),1),"")),"")&gt;=0,IF(BC88&lt;&gt;"",IF(BB88&lt;&gt;"",CEILING(((BB88-BC88)/BB88)*100,1),IF(AND(O88&lt;&gt;"",O88&gt;0),CEILING((((O88-BC88)/O88)*100),1),"")),""), "Ошибка: цена до скидки должна быть больше текущей.")</f>
      </c>
      <c r="BE88" s="13" t="s"/>
      <c r="BF88" s="13" t="s"/>
      <c r="BG88" s="13" t="s"/>
      <c r="BH88" s="13" t="s"/>
      <c r="BI88" s="13" t="s"/>
      <c r="BJ88" s="13" t="s"/>
      <c r="BK88" s="13" t="s"/>
    </row>
    <row r="89" ht="20" customHeight="true">
      <c r="A89" s="13" t="s">
        <v>402</v>
      </c>
      <c r="B89" s="13">
        <v>1600566506</v>
      </c>
      <c r="C89" s="13" t="s">
        <v>128</v>
      </c>
      <c r="D89" s="13" t="s">
        <v>129</v>
      </c>
      <c r="E89" s="13" t="s">
        <v>130</v>
      </c>
      <c r="F89" s="13">
        <v>663</v>
      </c>
      <c r="G89" s="13">
        <v>0</v>
      </c>
      <c r="H89" s="13">
        <v>3</v>
      </c>
      <c r="I89" s="13">
        <v>0.6</v>
      </c>
      <c r="J89" s="13" t="s">
        <v>403</v>
      </c>
      <c r="K89" s="13">
        <v>15855</v>
      </c>
      <c r="L89" s="13">
        <v>3072</v>
      </c>
      <c r="M89" s="13">
        <v>0.49</v>
      </c>
      <c r="N89" s="13">
        <v>15</v>
      </c>
      <c r="O89" s="13">
        <v>1438</v>
      </c>
      <c r="P89" s="13">
        <v>1057</v>
      </c>
      <c r="Q89" s="13">
        <v>27</v>
      </c>
      <c r="R89" s="13">
        <v>381</v>
      </c>
      <c r="S89" s="13">
        <v>1057</v>
      </c>
      <c r="T89" s="13">
        <v>48</v>
      </c>
      <c r="U89" s="13">
        <v>677</v>
      </c>
      <c r="V89" s="13" t="s">
        <v>132</v>
      </c>
      <c r="W89" s="13">
        <v>529</v>
      </c>
      <c r="X89" s="13" t="s">
        <v>133</v>
      </c>
      <c r="Y89" s="13" t="s">
        <v>134</v>
      </c>
      <c r="Z89" s="13" t="s"/>
      <c r="AA89" s="13" t="s">
        <v>303</v>
      </c>
      <c r="AB89" s="13" t="s">
        <v>154</v>
      </c>
      <c r="AC89" s="13" t="s">
        <v>155</v>
      </c>
      <c r="AD89" s="13" t="s">
        <v>138</v>
      </c>
      <c r="AE89" s="13" t="s">
        <v>138</v>
      </c>
      <c r="AF89" s="13">
        <v>0</v>
      </c>
      <c r="AG89" s="13">
        <v>572</v>
      </c>
      <c r="AH89" s="13">
        <v>572</v>
      </c>
      <c r="AI89" s="13" t="s">
        <v>372</v>
      </c>
      <c r="AJ89" s="13" t="s">
        <v>372</v>
      </c>
      <c r="AK89" s="13" t="s">
        <v>140</v>
      </c>
      <c r="AL89" s="13">
        <v>0</v>
      </c>
      <c r="AM89" s="13">
        <v>1.18</v>
      </c>
      <c r="AN89" s="13">
        <v>1.18</v>
      </c>
      <c r="AO89" s="13">
        <v>10.57</v>
      </c>
      <c r="AP89" s="13">
        <v>38</v>
      </c>
      <c r="AQ89" s="13">
        <v>74</v>
      </c>
      <c r="AR89" s="13">
        <v>362.84</v>
      </c>
      <c r="AS89" s="13">
        <v>25</v>
      </c>
      <c r="AT89" s="13">
        <v>0</v>
      </c>
      <c r="AU89" s="13">
        <v>47</v>
      </c>
      <c r="AV89" s="13">
        <v>10</v>
      </c>
      <c r="AW89" s="13">
        <v>30</v>
      </c>
      <c r="AX89" s="13">
        <v>0</v>
      </c>
      <c r="AY89" s="13">
        <v>74</v>
      </c>
      <c r="AZ89" s="13">
        <v>236</v>
      </c>
      <c r="BA89" s="13">
        <v>25</v>
      </c>
      <c r="BB89" s="13" t="s"/>
      <c r="BC89" s="13" t="s"/>
      <c r="BD89" s="1">
        <f>=IF(IF(BC89&lt;&gt;"",IF(BB89&lt;&gt;"",CEILING(((BB89-BC89)/BB89)*100,1),IF(AND(O89&lt;&gt;"",O89&gt;0),CEILING((((O89-BC89)/O89)*100),1),"")),"")&gt;=0,IF(BC89&lt;&gt;"",IF(BB89&lt;&gt;"",CEILING(((BB89-BC89)/BB89)*100,1),IF(AND(O89&lt;&gt;"",O89&gt;0),CEILING((((O89-BC89)/O89)*100),1),"")),""), "Ошибка: цена до скидки должна быть больше текущей.")</f>
      </c>
      <c r="BE89" s="13" t="s"/>
      <c r="BF89" s="13" t="s"/>
      <c r="BG89" s="13" t="s"/>
      <c r="BH89" s="13" t="s"/>
      <c r="BI89" s="13" t="s"/>
      <c r="BJ89" s="13" t="s"/>
      <c r="BK89" s="13" t="s"/>
    </row>
    <row r="90" ht="20" customHeight="true">
      <c r="A90" s="13" t="s">
        <v>404</v>
      </c>
      <c r="B90" s="13">
        <v>1601649254</v>
      </c>
      <c r="C90" s="13" t="s">
        <v>128</v>
      </c>
      <c r="D90" s="13" t="s">
        <v>129</v>
      </c>
      <c r="E90" s="13" t="s">
        <v>130</v>
      </c>
      <c r="F90" s="13">
        <v>810</v>
      </c>
      <c r="G90" s="13">
        <v>0</v>
      </c>
      <c r="H90" s="13">
        <v>3</v>
      </c>
      <c r="I90" s="13">
        <v>0.6</v>
      </c>
      <c r="J90" s="13" t="s">
        <v>405</v>
      </c>
      <c r="K90" s="13">
        <v>13208</v>
      </c>
      <c r="L90" s="13">
        <v>4295</v>
      </c>
      <c r="M90" s="13">
        <v>0.3</v>
      </c>
      <c r="N90" s="13">
        <v>13</v>
      </c>
      <c r="O90" s="13">
        <v>1382</v>
      </c>
      <c r="P90" s="13">
        <v>1016</v>
      </c>
      <c r="Q90" s="13">
        <v>27</v>
      </c>
      <c r="R90" s="13">
        <v>366</v>
      </c>
      <c r="S90" s="13">
        <v>1016</v>
      </c>
      <c r="T90" s="13">
        <v>48</v>
      </c>
      <c r="U90" s="13">
        <v>653</v>
      </c>
      <c r="V90" s="13" t="s">
        <v>132</v>
      </c>
      <c r="W90" s="13">
        <v>508</v>
      </c>
      <c r="X90" s="13" t="s">
        <v>133</v>
      </c>
      <c r="Y90" s="13" t="s">
        <v>134</v>
      </c>
      <c r="Z90" s="13" t="s"/>
      <c r="AA90" s="13" t="s">
        <v>384</v>
      </c>
      <c r="AB90" s="13" t="s">
        <v>172</v>
      </c>
      <c r="AC90" s="13" t="s">
        <v>173</v>
      </c>
      <c r="AD90" s="13" t="s">
        <v>138</v>
      </c>
      <c r="AE90" s="13" t="s">
        <v>138</v>
      </c>
      <c r="AF90" s="13">
        <v>0</v>
      </c>
      <c r="AG90" s="13">
        <v>572</v>
      </c>
      <c r="AH90" s="13">
        <v>572</v>
      </c>
      <c r="AI90" s="13" t="s">
        <v>394</v>
      </c>
      <c r="AJ90" s="13" t="s">
        <v>394</v>
      </c>
      <c r="AK90" s="13" t="s">
        <v>140</v>
      </c>
      <c r="AL90" s="13">
        <v>0</v>
      </c>
      <c r="AM90" s="13">
        <v>1.14</v>
      </c>
      <c r="AN90" s="13">
        <v>1.14</v>
      </c>
      <c r="AO90" s="13">
        <v>10.16</v>
      </c>
      <c r="AP90" s="13">
        <v>38</v>
      </c>
      <c r="AQ90" s="13">
        <v>74</v>
      </c>
      <c r="AR90" s="13">
        <v>357.92</v>
      </c>
      <c r="AS90" s="13">
        <v>25</v>
      </c>
      <c r="AT90" s="13">
        <v>0</v>
      </c>
      <c r="AU90" s="13">
        <v>47</v>
      </c>
      <c r="AV90" s="13">
        <v>10</v>
      </c>
      <c r="AW90" s="13">
        <v>30</v>
      </c>
      <c r="AX90" s="13">
        <v>0</v>
      </c>
      <c r="AY90" s="13">
        <v>74</v>
      </c>
      <c r="AZ90" s="13">
        <v>236</v>
      </c>
      <c r="BA90" s="13">
        <v>25</v>
      </c>
      <c r="BB90" s="13" t="s"/>
      <c r="BC90" s="13" t="s"/>
      <c r="BD90" s="1">
        <f>=IF(IF(BC90&lt;&gt;"",IF(BB90&lt;&gt;"",CEILING(((BB90-BC90)/BB90)*100,1),IF(AND(O90&lt;&gt;"",O90&gt;0),CEILING((((O90-BC90)/O90)*100),1),"")),"")&gt;=0,IF(BC90&lt;&gt;"",IF(BB90&lt;&gt;"",CEILING(((BB90-BC90)/BB90)*100,1),IF(AND(O90&lt;&gt;"",O90&gt;0),CEILING((((O90-BC90)/O90)*100),1),"")),""), "Ошибка: цена до скидки должна быть больше текущей.")</f>
      </c>
      <c r="BE90" s="13" t="s"/>
      <c r="BF90" s="13" t="s"/>
      <c r="BG90" s="13" t="s"/>
      <c r="BH90" s="13" t="s"/>
      <c r="BI90" s="13" t="s"/>
      <c r="BJ90" s="13" t="s"/>
      <c r="BK90" s="13" t="s"/>
    </row>
    <row r="91" ht="20" customHeight="true">
      <c r="A91" s="13" t="s">
        <v>406</v>
      </c>
      <c r="B91" s="13">
        <v>1601635067</v>
      </c>
      <c r="C91" s="13" t="s">
        <v>128</v>
      </c>
      <c r="D91" s="13" t="s">
        <v>129</v>
      </c>
      <c r="E91" s="13" t="s">
        <v>130</v>
      </c>
      <c r="F91" s="13">
        <v>289</v>
      </c>
      <c r="G91" s="13">
        <v>0</v>
      </c>
      <c r="H91" s="13">
        <v>1.782</v>
      </c>
      <c r="I91" s="13">
        <v>0.4</v>
      </c>
      <c r="J91" s="13" t="s">
        <v>407</v>
      </c>
      <c r="K91" s="13">
        <v>2114</v>
      </c>
      <c r="L91" s="13">
        <v>1344</v>
      </c>
      <c r="M91" s="13">
        <v>0.15</v>
      </c>
      <c r="N91" s="13">
        <v>2</v>
      </c>
      <c r="O91" s="13">
        <v>1438</v>
      </c>
      <c r="P91" s="13">
        <v>1057</v>
      </c>
      <c r="Q91" s="13">
        <v>27</v>
      </c>
      <c r="R91" s="13">
        <v>381</v>
      </c>
      <c r="S91" s="13">
        <v>1057</v>
      </c>
      <c r="T91" s="13">
        <v>48</v>
      </c>
      <c r="U91" s="13">
        <v>686</v>
      </c>
      <c r="V91" s="13" t="s">
        <v>132</v>
      </c>
      <c r="W91" s="13">
        <v>529</v>
      </c>
      <c r="X91" s="13" t="s">
        <v>133</v>
      </c>
      <c r="Y91" s="13" t="s">
        <v>134</v>
      </c>
      <c r="Z91" s="13" t="s"/>
      <c r="AA91" s="13" t="s">
        <v>143</v>
      </c>
      <c r="AB91" s="13" t="s">
        <v>191</v>
      </c>
      <c r="AC91" s="13" t="s">
        <v>177</v>
      </c>
      <c r="AD91" s="13" t="s">
        <v>138</v>
      </c>
      <c r="AE91" s="13" t="s">
        <v>138</v>
      </c>
      <c r="AF91" s="13">
        <v>0</v>
      </c>
      <c r="AG91" s="13">
        <v>572</v>
      </c>
      <c r="AH91" s="13">
        <v>572</v>
      </c>
      <c r="AI91" s="13" t="s">
        <v>381</v>
      </c>
      <c r="AJ91" s="13" t="s">
        <v>381</v>
      </c>
      <c r="AK91" s="13" t="s">
        <v>140</v>
      </c>
      <c r="AL91" s="13">
        <v>0</v>
      </c>
      <c r="AM91" s="13">
        <v>1.17</v>
      </c>
      <c r="AN91" s="13">
        <v>1.17</v>
      </c>
      <c r="AO91" s="13">
        <v>10.57</v>
      </c>
      <c r="AP91" s="13">
        <v>38</v>
      </c>
      <c r="AQ91" s="13">
        <v>74</v>
      </c>
      <c r="AR91" s="13">
        <v>344.84</v>
      </c>
      <c r="AS91" s="13">
        <v>25</v>
      </c>
      <c r="AT91" s="13">
        <v>0</v>
      </c>
      <c r="AU91" s="13">
        <v>47</v>
      </c>
      <c r="AV91" s="13">
        <v>10</v>
      </c>
      <c r="AW91" s="13">
        <v>30</v>
      </c>
      <c r="AX91" s="13">
        <v>0</v>
      </c>
      <c r="AY91" s="13">
        <v>74</v>
      </c>
      <c r="AZ91" s="13">
        <v>218</v>
      </c>
      <c r="BA91" s="13">
        <v>25</v>
      </c>
      <c r="BB91" s="13" t="s"/>
      <c r="BC91" s="13" t="s"/>
      <c r="BD91" s="1">
        <f>=IF(IF(BC91&lt;&gt;"",IF(BB91&lt;&gt;"",CEILING(((BB91-BC91)/BB91)*100,1),IF(AND(O91&lt;&gt;"",O91&gt;0),CEILING((((O91-BC91)/O91)*100),1),"")),"")&gt;=0,IF(BC91&lt;&gt;"",IF(BB91&lt;&gt;"",CEILING(((BB91-BC91)/BB91)*100,1),IF(AND(O91&lt;&gt;"",O91&gt;0),CEILING((((O91-BC91)/O91)*100),1),"")),""), "Ошибка: цена до скидки должна быть больше текущей.")</f>
      </c>
      <c r="BE91" s="13" t="s"/>
      <c r="BF91" s="13" t="s"/>
      <c r="BG91" s="13" t="s"/>
      <c r="BH91" s="13" t="s"/>
      <c r="BI91" s="13" t="s"/>
      <c r="BJ91" s="13" t="s"/>
      <c r="BK91" s="13" t="s"/>
    </row>
    <row r="92" ht="20" customHeight="true">
      <c r="A92" s="13" t="s">
        <v>408</v>
      </c>
      <c r="B92" s="13">
        <v>1601610139</v>
      </c>
      <c r="C92" s="13" t="s">
        <v>128</v>
      </c>
      <c r="D92" s="13" t="s">
        <v>129</v>
      </c>
      <c r="E92" s="13" t="s">
        <v>130</v>
      </c>
      <c r="F92" s="13">
        <v>278</v>
      </c>
      <c r="G92" s="13">
        <v>0</v>
      </c>
      <c r="H92" s="13">
        <v>2.912</v>
      </c>
      <c r="I92" s="13">
        <v>0.6</v>
      </c>
      <c r="J92" s="13" t="s">
        <v>409</v>
      </c>
      <c r="K92" s="13">
        <v>6342</v>
      </c>
      <c r="L92" s="13">
        <v>1081</v>
      </c>
      <c r="M92" s="13">
        <v>0.56</v>
      </c>
      <c r="N92" s="13">
        <v>6</v>
      </c>
      <c r="O92" s="13">
        <v>1438</v>
      </c>
      <c r="P92" s="13">
        <v>1057</v>
      </c>
      <c r="Q92" s="13">
        <v>27</v>
      </c>
      <c r="R92" s="13">
        <v>381</v>
      </c>
      <c r="S92" s="13">
        <v>1057</v>
      </c>
      <c r="T92" s="13">
        <v>48</v>
      </c>
      <c r="U92" s="13">
        <v>681</v>
      </c>
      <c r="V92" s="13" t="s">
        <v>132</v>
      </c>
      <c r="W92" s="13">
        <v>529</v>
      </c>
      <c r="X92" s="13" t="s">
        <v>133</v>
      </c>
      <c r="Y92" s="13" t="s">
        <v>134</v>
      </c>
      <c r="Z92" s="13" t="s"/>
      <c r="AA92" s="13" t="s">
        <v>261</v>
      </c>
      <c r="AB92" s="13" t="s">
        <v>191</v>
      </c>
      <c r="AC92" s="13" t="s">
        <v>177</v>
      </c>
      <c r="AD92" s="13" t="s">
        <v>138</v>
      </c>
      <c r="AE92" s="13" t="s">
        <v>138</v>
      </c>
      <c r="AF92" s="13">
        <v>0</v>
      </c>
      <c r="AG92" s="13">
        <v>572</v>
      </c>
      <c r="AH92" s="13">
        <v>572</v>
      </c>
      <c r="AI92" s="13" t="s">
        <v>398</v>
      </c>
      <c r="AJ92" s="13" t="s">
        <v>398</v>
      </c>
      <c r="AK92" s="13" t="s">
        <v>140</v>
      </c>
      <c r="AL92" s="13">
        <v>0</v>
      </c>
      <c r="AM92" s="13">
        <v>1.17</v>
      </c>
      <c r="AN92" s="13">
        <v>1.17</v>
      </c>
      <c r="AO92" s="13">
        <v>10.57</v>
      </c>
      <c r="AP92" s="13">
        <v>38</v>
      </c>
      <c r="AQ92" s="13">
        <v>74</v>
      </c>
      <c r="AR92" s="13">
        <v>362.84</v>
      </c>
      <c r="AS92" s="13">
        <v>25</v>
      </c>
      <c r="AT92" s="13">
        <v>0</v>
      </c>
      <c r="AU92" s="13">
        <v>47</v>
      </c>
      <c r="AV92" s="13">
        <v>10</v>
      </c>
      <c r="AW92" s="13">
        <v>30</v>
      </c>
      <c r="AX92" s="13">
        <v>0</v>
      </c>
      <c r="AY92" s="13">
        <v>74</v>
      </c>
      <c r="AZ92" s="13">
        <v>236</v>
      </c>
      <c r="BA92" s="13">
        <v>25</v>
      </c>
      <c r="BB92" s="13" t="s"/>
      <c r="BC92" s="13" t="s"/>
      <c r="BD92" s="1">
        <f>=IF(IF(BC92&lt;&gt;"",IF(BB92&lt;&gt;"",CEILING(((BB92-BC92)/BB92)*100,1),IF(AND(O92&lt;&gt;"",O92&gt;0),CEILING((((O92-BC92)/O92)*100),1),"")),"")&gt;=0,IF(BC92&lt;&gt;"",IF(BB92&lt;&gt;"",CEILING(((BB92-BC92)/BB92)*100,1),IF(AND(O92&lt;&gt;"",O92&gt;0),CEILING((((O92-BC92)/O92)*100),1),"")),""), "Ошибка: цена до скидки должна быть больше текущей.")</f>
      </c>
      <c r="BE92" s="13" t="s"/>
      <c r="BF92" s="13" t="s"/>
      <c r="BG92" s="13" t="s"/>
      <c r="BH92" s="13" t="s"/>
      <c r="BI92" s="13" t="s"/>
      <c r="BJ92" s="13" t="s"/>
      <c r="BK92" s="13" t="s"/>
    </row>
    <row r="93" ht="20" customHeight="true">
      <c r="A93" s="13" t="s">
        <v>410</v>
      </c>
      <c r="B93" s="13">
        <v>1608840148</v>
      </c>
      <c r="C93" s="13" t="s">
        <v>128</v>
      </c>
      <c r="D93" s="13" t="s">
        <v>129</v>
      </c>
      <c r="E93" s="13" t="s">
        <v>130</v>
      </c>
      <c r="F93" s="13">
        <v>490</v>
      </c>
      <c r="G93" s="13">
        <v>0</v>
      </c>
      <c r="H93" s="13">
        <v>1.782</v>
      </c>
      <c r="I93" s="13">
        <v>0.4</v>
      </c>
      <c r="J93" s="13" t="s">
        <v>411</v>
      </c>
      <c r="K93" s="13">
        <v>7028</v>
      </c>
      <c r="L93" s="13">
        <v>2109</v>
      </c>
      <c r="M93" s="13">
        <v>0.33</v>
      </c>
      <c r="N93" s="13">
        <v>7</v>
      </c>
      <c r="O93" s="13">
        <v>1366</v>
      </c>
      <c r="P93" s="13">
        <v>1004</v>
      </c>
      <c r="Q93" s="13">
        <v>27</v>
      </c>
      <c r="R93" s="13">
        <v>362</v>
      </c>
      <c r="S93" s="13">
        <v>1004</v>
      </c>
      <c r="T93" s="13">
        <v>48</v>
      </c>
      <c r="U93" s="13">
        <v>655</v>
      </c>
      <c r="V93" s="13" t="s">
        <v>132</v>
      </c>
      <c r="W93" s="13">
        <v>502</v>
      </c>
      <c r="X93" s="13" t="s">
        <v>133</v>
      </c>
      <c r="Y93" s="13" t="s">
        <v>134</v>
      </c>
      <c r="Z93" s="13" t="s"/>
      <c r="AA93" s="13" t="s">
        <v>306</v>
      </c>
      <c r="AB93" s="13" t="s">
        <v>187</v>
      </c>
      <c r="AC93" s="13" t="s">
        <v>188</v>
      </c>
      <c r="AD93" s="13" t="s">
        <v>138</v>
      </c>
      <c r="AE93" s="13" t="s">
        <v>138</v>
      </c>
      <c r="AF93" s="13">
        <v>0</v>
      </c>
      <c r="AG93" s="13">
        <v>520</v>
      </c>
      <c r="AH93" s="13">
        <v>520</v>
      </c>
      <c r="AI93" s="13" t="s">
        <v>412</v>
      </c>
      <c r="AJ93" s="13" t="s">
        <v>412</v>
      </c>
      <c r="AK93" s="13" t="s">
        <v>140</v>
      </c>
      <c r="AL93" s="13">
        <v>0</v>
      </c>
      <c r="AM93" s="13">
        <v>1.2</v>
      </c>
      <c r="AN93" s="13">
        <v>1.2</v>
      </c>
      <c r="AO93" s="13">
        <v>10.04</v>
      </c>
      <c r="AP93" s="13">
        <v>38</v>
      </c>
      <c r="AQ93" s="13">
        <v>74</v>
      </c>
      <c r="AR93" s="13">
        <v>338.48</v>
      </c>
      <c r="AS93" s="13">
        <v>25</v>
      </c>
      <c r="AT93" s="13">
        <v>0</v>
      </c>
      <c r="AU93" s="13">
        <v>47</v>
      </c>
      <c r="AV93" s="13">
        <v>10</v>
      </c>
      <c r="AW93" s="13">
        <v>30</v>
      </c>
      <c r="AX93" s="13">
        <v>0</v>
      </c>
      <c r="AY93" s="13">
        <v>74</v>
      </c>
      <c r="AZ93" s="13">
        <v>218</v>
      </c>
      <c r="BA93" s="13">
        <v>25</v>
      </c>
      <c r="BB93" s="13" t="s"/>
      <c r="BC93" s="13" t="s"/>
      <c r="BD93" s="1">
        <f>=IF(IF(BC93&lt;&gt;"",IF(BB93&lt;&gt;"",CEILING(((BB93-BC93)/BB93)*100,1),IF(AND(O93&lt;&gt;"",O93&gt;0),CEILING((((O93-BC93)/O93)*100),1),"")),"")&gt;=0,IF(BC93&lt;&gt;"",IF(BB93&lt;&gt;"",CEILING(((BB93-BC93)/BB93)*100,1),IF(AND(O93&lt;&gt;"",O93&gt;0),CEILING((((O93-BC93)/O93)*100),1),"")),""), "Ошибка: цена до скидки должна быть больше текущей.")</f>
      </c>
      <c r="BE93" s="13" t="s"/>
      <c r="BF93" s="13" t="s"/>
      <c r="BG93" s="13" t="s"/>
      <c r="BH93" s="13" t="s"/>
      <c r="BI93" s="13" t="s"/>
      <c r="BJ93" s="13" t="s"/>
      <c r="BK93" s="13" t="s"/>
    </row>
    <row r="94" ht="20" customHeight="true">
      <c r="A94" s="13" t="s">
        <v>413</v>
      </c>
      <c r="B94" s="13">
        <v>1608840038</v>
      </c>
      <c r="C94" s="13" t="s">
        <v>128</v>
      </c>
      <c r="D94" s="13" t="s">
        <v>129</v>
      </c>
      <c r="E94" s="13" t="s">
        <v>130</v>
      </c>
      <c r="F94" s="13">
        <v>696</v>
      </c>
      <c r="G94" s="13">
        <v>0</v>
      </c>
      <c r="H94" s="13">
        <v>2.912</v>
      </c>
      <c r="I94" s="13">
        <v>0.6</v>
      </c>
      <c r="J94" s="13" t="s">
        <v>414</v>
      </c>
      <c r="K94" s="13">
        <v>3012</v>
      </c>
      <c r="L94" s="13">
        <v>1608</v>
      </c>
      <c r="M94" s="13">
        <v>0.19</v>
      </c>
      <c r="N94" s="13">
        <v>3</v>
      </c>
      <c r="O94" s="13">
        <v>1366</v>
      </c>
      <c r="P94" s="13">
        <v>1004</v>
      </c>
      <c r="Q94" s="13">
        <v>27</v>
      </c>
      <c r="R94" s="13">
        <v>362</v>
      </c>
      <c r="S94" s="13">
        <v>1004</v>
      </c>
      <c r="T94" s="13">
        <v>48</v>
      </c>
      <c r="U94" s="13">
        <v>651</v>
      </c>
      <c r="V94" s="13" t="s">
        <v>132</v>
      </c>
      <c r="W94" s="13">
        <v>502</v>
      </c>
      <c r="X94" s="13" t="s">
        <v>133</v>
      </c>
      <c r="Y94" s="13" t="s">
        <v>134</v>
      </c>
      <c r="Z94" s="13" t="s"/>
      <c r="AA94" s="13" t="s">
        <v>415</v>
      </c>
      <c r="AB94" s="13" t="s">
        <v>180</v>
      </c>
      <c r="AC94" s="13" t="s">
        <v>181</v>
      </c>
      <c r="AD94" s="13" t="s">
        <v>138</v>
      </c>
      <c r="AE94" s="13" t="s">
        <v>138</v>
      </c>
      <c r="AF94" s="13">
        <v>0</v>
      </c>
      <c r="AG94" s="13">
        <v>520</v>
      </c>
      <c r="AH94" s="13">
        <v>520</v>
      </c>
      <c r="AI94" s="13" t="s">
        <v>412</v>
      </c>
      <c r="AJ94" s="13" t="s">
        <v>412</v>
      </c>
      <c r="AK94" s="13" t="s">
        <v>140</v>
      </c>
      <c r="AL94" s="13">
        <v>0</v>
      </c>
      <c r="AM94" s="13">
        <v>1.21</v>
      </c>
      <c r="AN94" s="13">
        <v>1.21</v>
      </c>
      <c r="AO94" s="13">
        <v>10.04</v>
      </c>
      <c r="AP94" s="13">
        <v>38</v>
      </c>
      <c r="AQ94" s="13">
        <v>74</v>
      </c>
      <c r="AR94" s="13">
        <v>356.48</v>
      </c>
      <c r="AS94" s="13">
        <v>25</v>
      </c>
      <c r="AT94" s="13">
        <v>0</v>
      </c>
      <c r="AU94" s="13">
        <v>47</v>
      </c>
      <c r="AV94" s="13">
        <v>10</v>
      </c>
      <c r="AW94" s="13">
        <v>30</v>
      </c>
      <c r="AX94" s="13">
        <v>0</v>
      </c>
      <c r="AY94" s="13">
        <v>74</v>
      </c>
      <c r="AZ94" s="13">
        <v>236</v>
      </c>
      <c r="BA94" s="13">
        <v>25</v>
      </c>
      <c r="BB94" s="13" t="s"/>
      <c r="BC94" s="13" t="s"/>
      <c r="BD94" s="1">
        <f>=IF(IF(BC94&lt;&gt;"",IF(BB94&lt;&gt;"",CEILING(((BB94-BC94)/BB94)*100,1),IF(AND(O94&lt;&gt;"",O94&gt;0),CEILING((((O94-BC94)/O94)*100),1),"")),"")&gt;=0,IF(BC94&lt;&gt;"",IF(BB94&lt;&gt;"",CEILING(((BB94-BC94)/BB94)*100,1),IF(AND(O94&lt;&gt;"",O94&gt;0),CEILING((((O94-BC94)/O94)*100),1),"")),""), "Ошибка: цена до скидки должна быть больше текущей.")</f>
      </c>
      <c r="BE94" s="13" t="s"/>
      <c r="BF94" s="13" t="s"/>
      <c r="BG94" s="13" t="s"/>
      <c r="BH94" s="13" t="s"/>
      <c r="BI94" s="13" t="s"/>
      <c r="BJ94" s="13" t="s"/>
      <c r="BK94" s="13" t="s"/>
    </row>
    <row r="95" ht="20" customHeight="true">
      <c r="A95" s="13" t="s">
        <v>416</v>
      </c>
      <c r="B95" s="13">
        <v>1608839955</v>
      </c>
      <c r="C95" s="13" t="s">
        <v>128</v>
      </c>
      <c r="D95" s="13" t="s">
        <v>129</v>
      </c>
      <c r="E95" s="13" t="s">
        <v>130</v>
      </c>
      <c r="F95" s="13">
        <v>873</v>
      </c>
      <c r="G95" s="13">
        <v>0</v>
      </c>
      <c r="H95" s="13">
        <v>2.912</v>
      </c>
      <c r="I95" s="13">
        <v>0.6</v>
      </c>
      <c r="J95" s="13" t="s">
        <v>417</v>
      </c>
      <c r="K95" s="13">
        <v>8032</v>
      </c>
      <c r="L95" s="13">
        <v>3044</v>
      </c>
      <c r="M95" s="13">
        <v>0.26</v>
      </c>
      <c r="N95" s="13">
        <v>8</v>
      </c>
      <c r="O95" s="13">
        <v>1366</v>
      </c>
      <c r="P95" s="13">
        <v>1004</v>
      </c>
      <c r="Q95" s="13">
        <v>27</v>
      </c>
      <c r="R95" s="13">
        <v>362</v>
      </c>
      <c r="S95" s="13">
        <v>1004</v>
      </c>
      <c r="T95" s="13">
        <v>48</v>
      </c>
      <c r="U95" s="13">
        <v>651</v>
      </c>
      <c r="V95" s="13" t="s">
        <v>132</v>
      </c>
      <c r="W95" s="13">
        <v>502</v>
      </c>
      <c r="X95" s="13" t="s">
        <v>133</v>
      </c>
      <c r="Y95" s="13" t="s">
        <v>134</v>
      </c>
      <c r="Z95" s="13" t="s"/>
      <c r="AA95" s="13" t="s">
        <v>418</v>
      </c>
      <c r="AB95" s="13" t="s">
        <v>172</v>
      </c>
      <c r="AC95" s="13" t="s">
        <v>173</v>
      </c>
      <c r="AD95" s="13" t="s">
        <v>138</v>
      </c>
      <c r="AE95" s="13" t="s">
        <v>138</v>
      </c>
      <c r="AF95" s="13">
        <v>0</v>
      </c>
      <c r="AG95" s="13">
        <v>520</v>
      </c>
      <c r="AH95" s="13">
        <v>520</v>
      </c>
      <c r="AI95" s="13" t="s">
        <v>419</v>
      </c>
      <c r="AJ95" s="13" t="s">
        <v>419</v>
      </c>
      <c r="AK95" s="13" t="s">
        <v>140</v>
      </c>
      <c r="AL95" s="13">
        <v>0</v>
      </c>
      <c r="AM95" s="13">
        <v>1.21</v>
      </c>
      <c r="AN95" s="13">
        <v>1.21</v>
      </c>
      <c r="AO95" s="13">
        <v>10.04</v>
      </c>
      <c r="AP95" s="13">
        <v>38</v>
      </c>
      <c r="AQ95" s="13">
        <v>74</v>
      </c>
      <c r="AR95" s="13">
        <v>356.48</v>
      </c>
      <c r="AS95" s="13">
        <v>25</v>
      </c>
      <c r="AT95" s="13">
        <v>0</v>
      </c>
      <c r="AU95" s="13">
        <v>47</v>
      </c>
      <c r="AV95" s="13">
        <v>10</v>
      </c>
      <c r="AW95" s="13">
        <v>30</v>
      </c>
      <c r="AX95" s="13">
        <v>0</v>
      </c>
      <c r="AY95" s="13">
        <v>74</v>
      </c>
      <c r="AZ95" s="13">
        <v>236</v>
      </c>
      <c r="BA95" s="13">
        <v>25</v>
      </c>
      <c r="BB95" s="13" t="s"/>
      <c r="BC95" s="13" t="s"/>
      <c r="BD95" s="1">
        <f>=IF(IF(BC95&lt;&gt;"",IF(BB95&lt;&gt;"",CEILING(((BB95-BC95)/BB95)*100,1),IF(AND(O95&lt;&gt;"",O95&gt;0),CEILING((((O95-BC95)/O95)*100),1),"")),"")&gt;=0,IF(BC95&lt;&gt;"",IF(BB95&lt;&gt;"",CEILING(((BB95-BC95)/BB95)*100,1),IF(AND(O95&lt;&gt;"",O95&gt;0),CEILING((((O95-BC95)/O95)*100),1),"")),""), "Ошибка: цена до скидки должна быть больше текущей.")</f>
      </c>
      <c r="BE95" s="13" t="s"/>
      <c r="BF95" s="13" t="s"/>
      <c r="BG95" s="13" t="s"/>
      <c r="BH95" s="13" t="s"/>
      <c r="BI95" s="13" t="s"/>
      <c r="BJ95" s="13" t="s"/>
      <c r="BK95" s="13" t="s"/>
    </row>
    <row r="96" ht="20" customHeight="true">
      <c r="A96" s="13" t="s">
        <v>420</v>
      </c>
      <c r="B96" s="13">
        <v>1608839676</v>
      </c>
      <c r="C96" s="13" t="s">
        <v>128</v>
      </c>
      <c r="D96" s="13" t="s">
        <v>129</v>
      </c>
      <c r="E96" s="13" t="s">
        <v>130</v>
      </c>
      <c r="F96" s="13">
        <v>1178</v>
      </c>
      <c r="G96" s="13">
        <v>0</v>
      </c>
      <c r="H96" s="13">
        <v>2.912</v>
      </c>
      <c r="I96" s="13">
        <v>0.6</v>
      </c>
      <c r="J96" s="13" t="s">
        <v>421</v>
      </c>
      <c r="K96" s="13">
        <v>5020</v>
      </c>
      <c r="L96" s="13">
        <v>2951</v>
      </c>
      <c r="M96" s="13">
        <v>0.17</v>
      </c>
      <c r="N96" s="13">
        <v>5</v>
      </c>
      <c r="O96" s="13">
        <v>1366</v>
      </c>
      <c r="P96" s="13">
        <v>1004</v>
      </c>
      <c r="Q96" s="13">
        <v>27</v>
      </c>
      <c r="R96" s="13">
        <v>362</v>
      </c>
      <c r="S96" s="13">
        <v>1004</v>
      </c>
      <c r="T96" s="13">
        <v>48</v>
      </c>
      <c r="U96" s="13">
        <v>643</v>
      </c>
      <c r="V96" s="13" t="s">
        <v>132</v>
      </c>
      <c r="W96" s="13">
        <v>502</v>
      </c>
      <c r="X96" s="13" t="s">
        <v>133</v>
      </c>
      <c r="Y96" s="13" t="s">
        <v>134</v>
      </c>
      <c r="Z96" s="13" t="s"/>
      <c r="AA96" s="13" t="s">
        <v>422</v>
      </c>
      <c r="AB96" s="13" t="s">
        <v>172</v>
      </c>
      <c r="AC96" s="13" t="s">
        <v>173</v>
      </c>
      <c r="AD96" s="13" t="s">
        <v>138</v>
      </c>
      <c r="AE96" s="13" t="s">
        <v>138</v>
      </c>
      <c r="AF96" s="13">
        <v>0</v>
      </c>
      <c r="AG96" s="13">
        <v>456</v>
      </c>
      <c r="AH96" s="13">
        <v>456</v>
      </c>
      <c r="AI96" s="13" t="s">
        <v>423</v>
      </c>
      <c r="AJ96" s="13" t="s">
        <v>423</v>
      </c>
      <c r="AK96" s="13" t="s">
        <v>140</v>
      </c>
      <c r="AL96" s="13">
        <v>0</v>
      </c>
      <c r="AM96" s="13">
        <v>1.31</v>
      </c>
      <c r="AN96" s="13">
        <v>1.31</v>
      </c>
      <c r="AO96" s="13">
        <v>10.04</v>
      </c>
      <c r="AP96" s="13">
        <v>38</v>
      </c>
      <c r="AQ96" s="13">
        <v>74</v>
      </c>
      <c r="AR96" s="13">
        <v>356.48</v>
      </c>
      <c r="AS96" s="13">
        <v>25</v>
      </c>
      <c r="AT96" s="13">
        <v>0</v>
      </c>
      <c r="AU96" s="13">
        <v>47</v>
      </c>
      <c r="AV96" s="13">
        <v>10</v>
      </c>
      <c r="AW96" s="13">
        <v>30</v>
      </c>
      <c r="AX96" s="13">
        <v>0</v>
      </c>
      <c r="AY96" s="13">
        <v>74</v>
      </c>
      <c r="AZ96" s="13">
        <v>236</v>
      </c>
      <c r="BA96" s="13">
        <v>25</v>
      </c>
      <c r="BB96" s="13" t="s"/>
      <c r="BC96" s="13" t="s"/>
      <c r="BD96" s="1">
        <f>=IF(IF(BC96&lt;&gt;"",IF(BB96&lt;&gt;"",CEILING(((BB96-BC96)/BB96)*100,1),IF(AND(O96&lt;&gt;"",O96&gt;0),CEILING((((O96-BC96)/O96)*100),1),"")),"")&gt;=0,IF(BC96&lt;&gt;"",IF(BB96&lt;&gt;"",CEILING(((BB96-BC96)/BB96)*100,1),IF(AND(O96&lt;&gt;"",O96&gt;0),CEILING((((O96-BC96)/O96)*100),1),"")),""), "Ошибка: цена до скидки должна быть больше текущей.")</f>
      </c>
      <c r="BE96" s="13" t="s"/>
      <c r="BF96" s="13" t="s"/>
      <c r="BG96" s="13" t="s"/>
      <c r="BH96" s="13" t="s"/>
      <c r="BI96" s="13" t="s"/>
      <c r="BJ96" s="13" t="s"/>
      <c r="BK96" s="13" t="s"/>
    </row>
    <row r="97" ht="20" customHeight="true">
      <c r="A97" s="13" t="s">
        <v>424</v>
      </c>
      <c r="B97" s="13">
        <v>1608839604</v>
      </c>
      <c r="C97" s="13" t="s">
        <v>425</v>
      </c>
      <c r="D97" s="13" t="s">
        <v>129</v>
      </c>
      <c r="E97" s="13" t="s">
        <v>130</v>
      </c>
      <c r="F97" s="13">
        <v>502</v>
      </c>
      <c r="G97" s="13">
        <v>0</v>
      </c>
      <c r="H97" s="13">
        <v>3.20528</v>
      </c>
      <c r="I97" s="13">
        <v>0.6</v>
      </c>
      <c r="J97" s="13" t="s">
        <v>426</v>
      </c>
      <c r="K97" s="13">
        <v>5216</v>
      </c>
      <c r="L97" s="13">
        <v>3058</v>
      </c>
      <c r="M97" s="13">
        <v>0.13</v>
      </c>
      <c r="N97" s="13">
        <v>4</v>
      </c>
      <c r="O97" s="13">
        <v>1797</v>
      </c>
      <c r="P97" s="13">
        <v>1304</v>
      </c>
      <c r="Q97" s="13">
        <v>28</v>
      </c>
      <c r="R97" s="13">
        <v>493</v>
      </c>
      <c r="S97" s="13">
        <v>1304</v>
      </c>
      <c r="T97" s="13">
        <v>49</v>
      </c>
      <c r="U97" s="13">
        <v>865</v>
      </c>
      <c r="V97" s="13" t="s">
        <v>132</v>
      </c>
      <c r="W97" s="13">
        <v>652</v>
      </c>
      <c r="X97" s="13" t="s">
        <v>133</v>
      </c>
      <c r="Y97" s="13" t="s">
        <v>134</v>
      </c>
      <c r="Z97" s="13" t="s"/>
      <c r="AA97" s="13" t="s">
        <v>427</v>
      </c>
      <c r="AB97" s="13" t="s">
        <v>136</v>
      </c>
      <c r="AC97" s="13" t="s">
        <v>137</v>
      </c>
      <c r="AD97" s="13" t="s">
        <v>138</v>
      </c>
      <c r="AE97" s="13" t="s">
        <v>138</v>
      </c>
      <c r="AF97" s="13">
        <v>0</v>
      </c>
      <c r="AG97" s="13">
        <v>871</v>
      </c>
      <c r="AH97" s="13">
        <v>871</v>
      </c>
      <c r="AI97" s="13" t="s">
        <v>428</v>
      </c>
      <c r="AJ97" s="13" t="s">
        <v>428</v>
      </c>
      <c r="AK97" s="13" t="s">
        <v>429</v>
      </c>
      <c r="AL97" s="13">
        <v>0</v>
      </c>
      <c r="AM97" s="13">
        <v>0.98</v>
      </c>
      <c r="AN97" s="13">
        <v>0.98</v>
      </c>
      <c r="AO97" s="13">
        <v>13.04</v>
      </c>
      <c r="AP97" s="13">
        <v>38</v>
      </c>
      <c r="AQ97" s="13">
        <v>78</v>
      </c>
      <c r="AR97" s="13">
        <v>456.48</v>
      </c>
      <c r="AS97" s="13">
        <v>25</v>
      </c>
      <c r="AT97" s="13">
        <v>0</v>
      </c>
      <c r="AU97" s="13">
        <v>47</v>
      </c>
      <c r="AV97" s="13">
        <v>10</v>
      </c>
      <c r="AW97" s="13">
        <v>30</v>
      </c>
      <c r="AX97" s="13">
        <v>0</v>
      </c>
      <c r="AY97" s="13">
        <v>78</v>
      </c>
      <c r="AZ97" s="13">
        <v>300</v>
      </c>
      <c r="BA97" s="13">
        <v>25</v>
      </c>
      <c r="BB97" s="13" t="s"/>
      <c r="BC97" s="13" t="s"/>
      <c r="BD97" s="1">
        <f>=IF(IF(BC97&lt;&gt;"",IF(BB97&lt;&gt;"",CEILING(((BB97-BC97)/BB97)*100,1),IF(AND(O97&lt;&gt;"",O97&gt;0),CEILING((((O97-BC97)/O97)*100),1),"")),"")&gt;=0,IF(BC97&lt;&gt;"",IF(BB97&lt;&gt;"",CEILING(((BB97-BC97)/BB97)*100,1),IF(AND(O97&lt;&gt;"",O97&gt;0),CEILING((((O97-BC97)/O97)*100),1),"")),""), "Ошибка: цена до скидки должна быть больше текущей.")</f>
      </c>
      <c r="BE97" s="13" t="s"/>
      <c r="BF97" s="13" t="s"/>
      <c r="BG97" s="13" t="s"/>
      <c r="BH97" s="13" t="s"/>
      <c r="BI97" s="13" t="s"/>
      <c r="BJ97" s="13" t="s"/>
      <c r="BK97" s="13" t="s"/>
    </row>
    <row r="98" ht="20" customHeight="true">
      <c r="A98" s="13" t="s">
        <v>430</v>
      </c>
      <c r="B98" s="13">
        <v>1608839346</v>
      </c>
      <c r="C98" s="13" t="s">
        <v>425</v>
      </c>
      <c r="D98" s="13" t="s">
        <v>431</v>
      </c>
      <c r="E98" s="13" t="s">
        <v>130</v>
      </c>
      <c r="F98" s="13">
        <v>0</v>
      </c>
      <c r="G98" s="13">
        <v>0</v>
      </c>
      <c r="H98" s="13">
        <v>3.744</v>
      </c>
      <c r="I98" s="13">
        <v>0.7</v>
      </c>
      <c r="J98" s="13" t="s">
        <v>432</v>
      </c>
      <c r="K98" s="13">
        <v>0</v>
      </c>
      <c r="L98" s="13">
        <v>27</v>
      </c>
      <c r="M98" s="13">
        <v>0</v>
      </c>
      <c r="N98" s="13">
        <v>0</v>
      </c>
      <c r="O98" s="13">
        <v>1797</v>
      </c>
      <c r="P98" s="13">
        <v>1321</v>
      </c>
      <c r="Q98" s="13">
        <v>27</v>
      </c>
      <c r="R98" s="13">
        <v>476</v>
      </c>
      <c r="S98" s="13">
        <v>1321</v>
      </c>
      <c r="T98" s="13">
        <v>27</v>
      </c>
      <c r="U98" s="13">
        <v>476</v>
      </c>
      <c r="V98" s="13" t="s">
        <v>132</v>
      </c>
      <c r="W98" s="13">
        <v>661</v>
      </c>
      <c r="X98" s="13" t="s">
        <v>133</v>
      </c>
      <c r="Y98" s="13" t="s">
        <v>134</v>
      </c>
      <c r="Z98" s="13" t="s"/>
      <c r="AA98" s="13" t="s">
        <v>433</v>
      </c>
      <c r="AB98" s="13" t="s">
        <v>180</v>
      </c>
      <c r="AC98" s="13" t="s">
        <v>181</v>
      </c>
      <c r="AD98" s="13" t="s">
        <v>138</v>
      </c>
      <c r="AE98" s="13" t="s">
        <v>138</v>
      </c>
      <c r="AF98" s="13">
        <v>0</v>
      </c>
      <c r="AG98" s="13">
        <v>0</v>
      </c>
      <c r="AH98" s="13">
        <v>0</v>
      </c>
      <c r="AI98" s="13" t="s"/>
      <c r="AJ98" s="13" t="s"/>
      <c r="AK98" s="13" t="s"/>
      <c r="AL98" s="13">
        <v>0</v>
      </c>
      <c r="AM98" s="13">
        <v>0</v>
      </c>
      <c r="AN98" s="13">
        <v>0</v>
      </c>
      <c r="AO98" s="13">
        <v>13.21</v>
      </c>
      <c r="AP98" s="13">
        <v>38</v>
      </c>
      <c r="AQ98" s="13">
        <v>78</v>
      </c>
      <c r="AR98" s="13">
        <v>458.52</v>
      </c>
      <c r="AS98" s="13">
        <v>25</v>
      </c>
      <c r="AT98" s="13">
        <v>0</v>
      </c>
      <c r="AU98" s="13">
        <v>47</v>
      </c>
      <c r="AV98" s="13">
        <v>10</v>
      </c>
      <c r="AW98" s="13">
        <v>30</v>
      </c>
      <c r="AX98" s="13">
        <v>0</v>
      </c>
      <c r="AY98" s="13">
        <v>78</v>
      </c>
      <c r="AZ98" s="13">
        <v>300</v>
      </c>
      <c r="BA98" s="13">
        <v>25</v>
      </c>
      <c r="BB98" s="13" t="s"/>
      <c r="BC98" s="13" t="s"/>
      <c r="BD98" s="1">
        <f>=IF(IF(BC98&lt;&gt;"",IF(BB98&lt;&gt;"",CEILING(((BB98-BC98)/BB98)*100,1),IF(AND(O98&lt;&gt;"",O98&gt;0),CEILING((((O98-BC98)/O98)*100),1),"")),"")&gt;=0,IF(BC98&lt;&gt;"",IF(BB98&lt;&gt;"",CEILING(((BB98-BC98)/BB98)*100,1),IF(AND(O98&lt;&gt;"",O98&gt;0),CEILING((((O98-BC98)/O98)*100),1),"")),""), "Ошибка: цена до скидки должна быть больше текущей.")</f>
      </c>
      <c r="BE98" s="13" t="s"/>
      <c r="BF98" s="13" t="s"/>
      <c r="BG98" s="13" t="s"/>
      <c r="BH98" s="13" t="s"/>
      <c r="BI98" s="13" t="s"/>
      <c r="BJ98" s="13" t="s"/>
      <c r="BK98" s="13" t="s"/>
    </row>
    <row r="99" ht="20" customHeight="true">
      <c r="A99" s="13" t="s">
        <v>434</v>
      </c>
      <c r="B99" s="13">
        <v>1608840074</v>
      </c>
      <c r="C99" s="13" t="s">
        <v>425</v>
      </c>
      <c r="D99" s="13" t="s">
        <v>431</v>
      </c>
      <c r="E99" s="13" t="s">
        <v>130</v>
      </c>
      <c r="F99" s="13">
        <v>0</v>
      </c>
      <c r="G99" s="13">
        <v>0</v>
      </c>
      <c r="H99" s="13">
        <v>3.744</v>
      </c>
      <c r="I99" s="13">
        <v>0.7</v>
      </c>
      <c r="J99" s="13" t="s">
        <v>435</v>
      </c>
      <c r="K99" s="13">
        <v>0</v>
      </c>
      <c r="L99" s="13">
        <v>28</v>
      </c>
      <c r="M99" s="13">
        <v>0</v>
      </c>
      <c r="N99" s="13">
        <v>0</v>
      </c>
      <c r="O99" s="13">
        <v>1797</v>
      </c>
      <c r="P99" s="13">
        <v>1321</v>
      </c>
      <c r="Q99" s="13">
        <v>27</v>
      </c>
      <c r="R99" s="13">
        <v>476</v>
      </c>
      <c r="S99" s="13">
        <v>1321</v>
      </c>
      <c r="T99" s="13">
        <v>27</v>
      </c>
      <c r="U99" s="13">
        <v>476</v>
      </c>
      <c r="V99" s="13" t="s">
        <v>132</v>
      </c>
      <c r="W99" s="13">
        <v>661</v>
      </c>
      <c r="X99" s="13" t="s">
        <v>133</v>
      </c>
      <c r="Y99" s="13" t="s">
        <v>134</v>
      </c>
      <c r="Z99" s="13" t="s"/>
      <c r="AA99" s="13" t="s">
        <v>436</v>
      </c>
      <c r="AB99" s="13" t="s">
        <v>154</v>
      </c>
      <c r="AC99" s="13" t="s">
        <v>177</v>
      </c>
      <c r="AD99" s="13" t="s">
        <v>138</v>
      </c>
      <c r="AE99" s="13" t="s">
        <v>138</v>
      </c>
      <c r="AF99" s="13">
        <v>0</v>
      </c>
      <c r="AG99" s="13">
        <v>0</v>
      </c>
      <c r="AH99" s="13">
        <v>0</v>
      </c>
      <c r="AI99" s="13" t="s"/>
      <c r="AJ99" s="13" t="s"/>
      <c r="AK99" s="13" t="s"/>
      <c r="AL99" s="13">
        <v>0</v>
      </c>
      <c r="AM99" s="13">
        <v>0</v>
      </c>
      <c r="AN99" s="13">
        <v>0</v>
      </c>
      <c r="AO99" s="13">
        <v>13.21</v>
      </c>
      <c r="AP99" s="13">
        <v>38</v>
      </c>
      <c r="AQ99" s="13">
        <v>78</v>
      </c>
      <c r="AR99" s="13">
        <v>458.52</v>
      </c>
      <c r="AS99" s="13">
        <v>25</v>
      </c>
      <c r="AT99" s="13">
        <v>0</v>
      </c>
      <c r="AU99" s="13">
        <v>47</v>
      </c>
      <c r="AV99" s="13">
        <v>10</v>
      </c>
      <c r="AW99" s="13">
        <v>30</v>
      </c>
      <c r="AX99" s="13">
        <v>0</v>
      </c>
      <c r="AY99" s="13">
        <v>78</v>
      </c>
      <c r="AZ99" s="13">
        <v>300</v>
      </c>
      <c r="BA99" s="13">
        <v>25</v>
      </c>
      <c r="BB99" s="13" t="s"/>
      <c r="BC99" s="13" t="s"/>
      <c r="BD99" s="1">
        <f>=IF(IF(BC99&lt;&gt;"",IF(BB99&lt;&gt;"",CEILING(((BB99-BC99)/BB99)*100,1),IF(AND(O99&lt;&gt;"",O99&gt;0),CEILING((((O99-BC99)/O99)*100),1),"")),"")&gt;=0,IF(BC99&lt;&gt;"",IF(BB99&lt;&gt;"",CEILING(((BB99-BC99)/BB99)*100,1),IF(AND(O99&lt;&gt;"",O99&gt;0),CEILING((((O99-BC99)/O99)*100),1),"")),""), "Ошибка: цена до скидки должна быть больше текущей.")</f>
      </c>
      <c r="BE99" s="13" t="s"/>
      <c r="BF99" s="13" t="s"/>
      <c r="BG99" s="13" t="s"/>
      <c r="BH99" s="13" t="s"/>
      <c r="BI99" s="13" t="s"/>
      <c r="BJ99" s="13" t="s"/>
      <c r="BK99" s="13" t="s"/>
    </row>
    <row r="100" ht="20" customHeight="true">
      <c r="A100" s="13" t="s">
        <v>437</v>
      </c>
      <c r="B100" s="13">
        <v>1606040979</v>
      </c>
      <c r="C100" s="13" t="s">
        <v>425</v>
      </c>
      <c r="D100" s="13" t="s">
        <v>431</v>
      </c>
      <c r="E100" s="13" t="s">
        <v>130</v>
      </c>
      <c r="F100" s="13">
        <v>0</v>
      </c>
      <c r="G100" s="13">
        <v>0</v>
      </c>
      <c r="H100" s="13">
        <v>3.744</v>
      </c>
      <c r="I100" s="13">
        <v>0.7</v>
      </c>
      <c r="J100" s="13" t="s">
        <v>438</v>
      </c>
      <c r="K100" s="13">
        <v>0</v>
      </c>
      <c r="L100" s="13">
        <v>20</v>
      </c>
      <c r="M100" s="13">
        <v>0</v>
      </c>
      <c r="N100" s="13">
        <v>0</v>
      </c>
      <c r="O100" s="13">
        <v>1797</v>
      </c>
      <c r="P100" s="13">
        <v>1321</v>
      </c>
      <c r="Q100" s="13">
        <v>27</v>
      </c>
      <c r="R100" s="13">
        <v>476</v>
      </c>
      <c r="S100" s="13">
        <v>1321</v>
      </c>
      <c r="T100" s="13">
        <v>27</v>
      </c>
      <c r="U100" s="13">
        <v>476</v>
      </c>
      <c r="V100" s="13" t="s">
        <v>132</v>
      </c>
      <c r="W100" s="13">
        <v>661</v>
      </c>
      <c r="X100" s="13" t="s">
        <v>133</v>
      </c>
      <c r="Y100" s="13" t="s">
        <v>134</v>
      </c>
      <c r="Z100" s="13" t="s"/>
      <c r="AA100" s="13" t="s">
        <v>439</v>
      </c>
      <c r="AB100" s="13" t="s">
        <v>172</v>
      </c>
      <c r="AC100" s="13" t="s">
        <v>173</v>
      </c>
      <c r="AD100" s="13" t="s">
        <v>138</v>
      </c>
      <c r="AE100" s="13" t="s">
        <v>138</v>
      </c>
      <c r="AF100" s="13">
        <v>0</v>
      </c>
      <c r="AG100" s="13">
        <v>0</v>
      </c>
      <c r="AH100" s="13">
        <v>0</v>
      </c>
      <c r="AI100" s="13" t="s"/>
      <c r="AJ100" s="13" t="s"/>
      <c r="AK100" s="13" t="s"/>
      <c r="AL100" s="13">
        <v>0</v>
      </c>
      <c r="AM100" s="13">
        <v>0</v>
      </c>
      <c r="AN100" s="13">
        <v>0</v>
      </c>
      <c r="AO100" s="13">
        <v>13.21</v>
      </c>
      <c r="AP100" s="13">
        <v>38</v>
      </c>
      <c r="AQ100" s="13">
        <v>78</v>
      </c>
      <c r="AR100" s="13">
        <v>458.52</v>
      </c>
      <c r="AS100" s="13">
        <v>25</v>
      </c>
      <c r="AT100" s="13">
        <v>0</v>
      </c>
      <c r="AU100" s="13">
        <v>47</v>
      </c>
      <c r="AV100" s="13">
        <v>10</v>
      </c>
      <c r="AW100" s="13">
        <v>30</v>
      </c>
      <c r="AX100" s="13">
        <v>0</v>
      </c>
      <c r="AY100" s="13">
        <v>78</v>
      </c>
      <c r="AZ100" s="13">
        <v>300</v>
      </c>
      <c r="BA100" s="13">
        <v>25</v>
      </c>
      <c r="BB100" s="13" t="s"/>
      <c r="BC100" s="13" t="s"/>
      <c r="BD100" s="1">
        <f>=IF(IF(BC100&lt;&gt;"",IF(BB100&lt;&gt;"",CEILING(((BB100-BC100)/BB100)*100,1),IF(AND(O100&lt;&gt;"",O100&gt;0),CEILING((((O100-BC100)/O100)*100),1),"")),"")&gt;=0,IF(BC100&lt;&gt;"",IF(BB100&lt;&gt;"",CEILING(((BB100-BC100)/BB100)*100,1),IF(AND(O100&lt;&gt;"",O100&gt;0),CEILING((((O100-BC100)/O100)*100),1),"")),""), "Ошибка: цена до скидки должна быть больше текущей.")</f>
      </c>
      <c r="BE100" s="13" t="s"/>
      <c r="BF100" s="13" t="s"/>
      <c r="BG100" s="13" t="s"/>
      <c r="BH100" s="13" t="s"/>
      <c r="BI100" s="13" t="s"/>
      <c r="BJ100" s="13" t="s"/>
      <c r="BK100" s="13" t="s"/>
    </row>
    <row r="101" ht="20" customHeight="true">
      <c r="A101" s="13" t="s">
        <v>440</v>
      </c>
      <c r="B101" s="13">
        <v>1608838863</v>
      </c>
      <c r="C101" s="13" t="s">
        <v>425</v>
      </c>
      <c r="D101" s="13" t="s">
        <v>431</v>
      </c>
      <c r="E101" s="13" t="s">
        <v>130</v>
      </c>
      <c r="F101" s="13">
        <v>0</v>
      </c>
      <c r="G101" s="13">
        <v>0</v>
      </c>
      <c r="H101" s="13">
        <v>3.744</v>
      </c>
      <c r="I101" s="13">
        <v>0.7</v>
      </c>
      <c r="J101" s="13" t="s">
        <v>441</v>
      </c>
      <c r="K101" s="13">
        <v>0</v>
      </c>
      <c r="L101" s="13">
        <v>33</v>
      </c>
      <c r="M101" s="13">
        <v>0</v>
      </c>
      <c r="N101" s="13">
        <v>0</v>
      </c>
      <c r="O101" s="13">
        <v>1797</v>
      </c>
      <c r="P101" s="13">
        <v>1321</v>
      </c>
      <c r="Q101" s="13">
        <v>27</v>
      </c>
      <c r="R101" s="13">
        <v>476</v>
      </c>
      <c r="S101" s="13">
        <v>1321</v>
      </c>
      <c r="T101" s="13">
        <v>27</v>
      </c>
      <c r="U101" s="13">
        <v>476</v>
      </c>
      <c r="V101" s="13" t="s">
        <v>132</v>
      </c>
      <c r="W101" s="13">
        <v>661</v>
      </c>
      <c r="X101" s="13" t="s">
        <v>133</v>
      </c>
      <c r="Y101" s="13" t="s">
        <v>134</v>
      </c>
      <c r="Z101" s="13" t="s"/>
      <c r="AA101" s="13" t="s">
        <v>442</v>
      </c>
      <c r="AB101" s="13" t="s">
        <v>172</v>
      </c>
      <c r="AC101" s="13" t="s">
        <v>173</v>
      </c>
      <c r="AD101" s="13" t="s">
        <v>138</v>
      </c>
      <c r="AE101" s="13" t="s">
        <v>138</v>
      </c>
      <c r="AF101" s="13">
        <v>0</v>
      </c>
      <c r="AG101" s="13">
        <v>0</v>
      </c>
      <c r="AH101" s="13">
        <v>0</v>
      </c>
      <c r="AI101" s="13" t="s"/>
      <c r="AJ101" s="13" t="s"/>
      <c r="AK101" s="13" t="s"/>
      <c r="AL101" s="13">
        <v>0</v>
      </c>
      <c r="AM101" s="13">
        <v>0</v>
      </c>
      <c r="AN101" s="13">
        <v>0</v>
      </c>
      <c r="AO101" s="13">
        <v>13.21</v>
      </c>
      <c r="AP101" s="13">
        <v>38</v>
      </c>
      <c r="AQ101" s="13">
        <v>78</v>
      </c>
      <c r="AR101" s="13">
        <v>458.52</v>
      </c>
      <c r="AS101" s="13">
        <v>25</v>
      </c>
      <c r="AT101" s="13">
        <v>0</v>
      </c>
      <c r="AU101" s="13">
        <v>47</v>
      </c>
      <c r="AV101" s="13">
        <v>10</v>
      </c>
      <c r="AW101" s="13">
        <v>30</v>
      </c>
      <c r="AX101" s="13">
        <v>0</v>
      </c>
      <c r="AY101" s="13">
        <v>78</v>
      </c>
      <c r="AZ101" s="13">
        <v>300</v>
      </c>
      <c r="BA101" s="13">
        <v>25</v>
      </c>
      <c r="BB101" s="13" t="s"/>
      <c r="BC101" s="13" t="s"/>
      <c r="BD101" s="1">
        <f>=IF(IF(BC101&lt;&gt;"",IF(BB101&lt;&gt;"",CEILING(((BB101-BC101)/BB101)*100,1),IF(AND(O101&lt;&gt;"",O101&gt;0),CEILING((((O101-BC101)/O101)*100),1),"")),"")&gt;=0,IF(BC101&lt;&gt;"",IF(BB101&lt;&gt;"",CEILING(((BB101-BC101)/BB101)*100,1),IF(AND(O101&lt;&gt;"",O101&gt;0),CEILING((((O101-BC101)/O101)*100),1),"")),""), "Ошибка: цена до скидки должна быть больше текущей.")</f>
      </c>
      <c r="BE101" s="13" t="s"/>
      <c r="BF101" s="13" t="s"/>
      <c r="BG101" s="13" t="s"/>
      <c r="BH101" s="13" t="s"/>
      <c r="BI101" s="13" t="s"/>
      <c r="BJ101" s="13" t="s"/>
      <c r="BK101" s="13" t="s"/>
    </row>
    <row r="102" ht="20" customHeight="true">
      <c r="A102" s="13" t="s">
        <v>443</v>
      </c>
      <c r="B102" s="13">
        <v>1606040924</v>
      </c>
      <c r="C102" s="13" t="s">
        <v>425</v>
      </c>
      <c r="D102" s="13" t="s">
        <v>431</v>
      </c>
      <c r="E102" s="13" t="s">
        <v>130</v>
      </c>
      <c r="F102" s="13">
        <v>0</v>
      </c>
      <c r="G102" s="13">
        <v>0</v>
      </c>
      <c r="H102" s="13">
        <v>3.744</v>
      </c>
      <c r="I102" s="13">
        <v>0.7</v>
      </c>
      <c r="J102" s="13" t="s">
        <v>444</v>
      </c>
      <c r="K102" s="13">
        <v>0</v>
      </c>
      <c r="L102" s="13">
        <v>24</v>
      </c>
      <c r="M102" s="13">
        <v>0</v>
      </c>
      <c r="N102" s="13">
        <v>0</v>
      </c>
      <c r="O102" s="13">
        <v>1797</v>
      </c>
      <c r="P102" s="13">
        <v>1321</v>
      </c>
      <c r="Q102" s="13">
        <v>27</v>
      </c>
      <c r="R102" s="13">
        <v>476</v>
      </c>
      <c r="S102" s="13">
        <v>1321</v>
      </c>
      <c r="T102" s="13">
        <v>27</v>
      </c>
      <c r="U102" s="13">
        <v>476</v>
      </c>
      <c r="V102" s="13" t="s">
        <v>132</v>
      </c>
      <c r="W102" s="13">
        <v>661</v>
      </c>
      <c r="X102" s="13" t="s">
        <v>133</v>
      </c>
      <c r="Y102" s="13" t="s">
        <v>134</v>
      </c>
      <c r="Z102" s="13" t="s"/>
      <c r="AA102" s="13" t="s">
        <v>445</v>
      </c>
      <c r="AB102" s="13" t="s">
        <v>136</v>
      </c>
      <c r="AC102" s="13" t="s">
        <v>137</v>
      </c>
      <c r="AD102" s="13" t="s">
        <v>138</v>
      </c>
      <c r="AE102" s="13" t="s">
        <v>138</v>
      </c>
      <c r="AF102" s="13">
        <v>0</v>
      </c>
      <c r="AG102" s="13">
        <v>0</v>
      </c>
      <c r="AH102" s="13">
        <v>0</v>
      </c>
      <c r="AI102" s="13" t="s"/>
      <c r="AJ102" s="13" t="s"/>
      <c r="AK102" s="13" t="s"/>
      <c r="AL102" s="13">
        <v>0</v>
      </c>
      <c r="AM102" s="13">
        <v>0</v>
      </c>
      <c r="AN102" s="13">
        <v>0</v>
      </c>
      <c r="AO102" s="13">
        <v>13.21</v>
      </c>
      <c r="AP102" s="13">
        <v>38</v>
      </c>
      <c r="AQ102" s="13">
        <v>78</v>
      </c>
      <c r="AR102" s="13">
        <v>458.52</v>
      </c>
      <c r="AS102" s="13">
        <v>25</v>
      </c>
      <c r="AT102" s="13">
        <v>0</v>
      </c>
      <c r="AU102" s="13">
        <v>47</v>
      </c>
      <c r="AV102" s="13">
        <v>10</v>
      </c>
      <c r="AW102" s="13">
        <v>30</v>
      </c>
      <c r="AX102" s="13">
        <v>0</v>
      </c>
      <c r="AY102" s="13">
        <v>78</v>
      </c>
      <c r="AZ102" s="13">
        <v>300</v>
      </c>
      <c r="BA102" s="13">
        <v>25</v>
      </c>
      <c r="BB102" s="13" t="s"/>
      <c r="BC102" s="13" t="s"/>
      <c r="BD102" s="1">
        <f>=IF(IF(BC102&lt;&gt;"",IF(BB102&lt;&gt;"",CEILING(((BB102-BC102)/BB102)*100,1),IF(AND(O102&lt;&gt;"",O102&gt;0),CEILING((((O102-BC102)/O102)*100),1),"")),"")&gt;=0,IF(BC102&lt;&gt;"",IF(BB102&lt;&gt;"",CEILING(((BB102-BC102)/BB102)*100,1),IF(AND(O102&lt;&gt;"",O102&gt;0),CEILING((((O102-BC102)/O102)*100),1),"")),""), "Ошибка: цена до скидки должна быть больше текущей.")</f>
      </c>
      <c r="BE102" s="13" t="s"/>
      <c r="BF102" s="13" t="s"/>
      <c r="BG102" s="13" t="s"/>
      <c r="BH102" s="13" t="s"/>
      <c r="BI102" s="13" t="s"/>
      <c r="BJ102" s="13" t="s"/>
      <c r="BK102" s="13" t="s"/>
    </row>
    <row r="103" ht="20" customHeight="true">
      <c r="A103" s="13" t="s">
        <v>446</v>
      </c>
      <c r="B103" s="13">
        <v>1608839056</v>
      </c>
      <c r="C103" s="13" t="s">
        <v>425</v>
      </c>
      <c r="D103" s="13" t="s">
        <v>129</v>
      </c>
      <c r="E103" s="13" t="s">
        <v>130</v>
      </c>
      <c r="F103" s="13">
        <v>164</v>
      </c>
      <c r="G103" s="13">
        <v>0</v>
      </c>
      <c r="H103" s="13">
        <v>3.744</v>
      </c>
      <c r="I103" s="13">
        <v>0.7</v>
      </c>
      <c r="J103" s="13" t="s">
        <v>447</v>
      </c>
      <c r="K103" s="13">
        <v>1304</v>
      </c>
      <c r="L103" s="13">
        <v>2509</v>
      </c>
      <c r="M103" s="13">
        <v>0.04</v>
      </c>
      <c r="N103" s="13">
        <v>1</v>
      </c>
      <c r="O103" s="13">
        <v>1797</v>
      </c>
      <c r="P103" s="13">
        <v>1304</v>
      </c>
      <c r="Q103" s="13">
        <v>28</v>
      </c>
      <c r="R103" s="13">
        <v>493</v>
      </c>
      <c r="S103" s="13">
        <v>1304</v>
      </c>
      <c r="T103" s="13">
        <v>49</v>
      </c>
      <c r="U103" s="13">
        <v>865</v>
      </c>
      <c r="V103" s="13" t="s">
        <v>132</v>
      </c>
      <c r="W103" s="13">
        <v>652</v>
      </c>
      <c r="X103" s="13" t="s">
        <v>133</v>
      </c>
      <c r="Y103" s="13" t="s">
        <v>134</v>
      </c>
      <c r="Z103" s="13" t="s"/>
      <c r="AA103" s="13" t="s">
        <v>448</v>
      </c>
      <c r="AB103" s="13" t="s">
        <v>136</v>
      </c>
      <c r="AC103" s="13" t="s">
        <v>137</v>
      </c>
      <c r="AD103" s="13" t="s">
        <v>138</v>
      </c>
      <c r="AE103" s="13" t="s">
        <v>138</v>
      </c>
      <c r="AF103" s="13">
        <v>0</v>
      </c>
      <c r="AG103" s="13">
        <v>871</v>
      </c>
      <c r="AH103" s="13">
        <v>871</v>
      </c>
      <c r="AI103" s="13" t="s">
        <v>449</v>
      </c>
      <c r="AJ103" s="13" t="s">
        <v>449</v>
      </c>
      <c r="AK103" s="13" t="s">
        <v>429</v>
      </c>
      <c r="AL103" s="13">
        <v>0</v>
      </c>
      <c r="AM103" s="13">
        <v>0.98</v>
      </c>
      <c r="AN103" s="13">
        <v>0.98</v>
      </c>
      <c r="AO103" s="13">
        <v>13.04</v>
      </c>
      <c r="AP103" s="13">
        <v>38</v>
      </c>
      <c r="AQ103" s="13">
        <v>78</v>
      </c>
      <c r="AR103" s="13">
        <v>456.48</v>
      </c>
      <c r="AS103" s="13">
        <v>25</v>
      </c>
      <c r="AT103" s="13">
        <v>0</v>
      </c>
      <c r="AU103" s="13">
        <v>47</v>
      </c>
      <c r="AV103" s="13">
        <v>10</v>
      </c>
      <c r="AW103" s="13">
        <v>30</v>
      </c>
      <c r="AX103" s="13">
        <v>0</v>
      </c>
      <c r="AY103" s="13">
        <v>78</v>
      </c>
      <c r="AZ103" s="13">
        <v>300</v>
      </c>
      <c r="BA103" s="13">
        <v>25</v>
      </c>
      <c r="BB103" s="13" t="s"/>
      <c r="BC103" s="13" t="s"/>
      <c r="BD103" s="1">
        <f>=IF(IF(BC103&lt;&gt;"",IF(BB103&lt;&gt;"",CEILING(((BB103-BC103)/BB103)*100,1),IF(AND(O103&lt;&gt;"",O103&gt;0),CEILING((((O103-BC103)/O103)*100),1),"")),"")&gt;=0,IF(BC103&lt;&gt;"",IF(BB103&lt;&gt;"",CEILING(((BB103-BC103)/BB103)*100,1),IF(AND(O103&lt;&gt;"",O103&gt;0),CEILING((((O103-BC103)/O103)*100),1),"")),""), "Ошибка: цена до скидки должна быть больше текущей.")</f>
      </c>
      <c r="BE103" s="13" t="s"/>
      <c r="BF103" s="13" t="s"/>
      <c r="BG103" s="13" t="s"/>
      <c r="BH103" s="13" t="s"/>
      <c r="BI103" s="13" t="s"/>
      <c r="BJ103" s="13" t="s"/>
      <c r="BK103" s="13" t="s"/>
    </row>
    <row r="104" ht="20" customHeight="true">
      <c r="A104" s="13" t="s">
        <v>450</v>
      </c>
      <c r="B104" s="13">
        <v>1606040909</v>
      </c>
      <c r="C104" s="13" t="s">
        <v>425</v>
      </c>
      <c r="D104" s="13" t="s">
        <v>431</v>
      </c>
      <c r="E104" s="13" t="s">
        <v>130</v>
      </c>
      <c r="F104" s="13">
        <v>0</v>
      </c>
      <c r="G104" s="13">
        <v>0</v>
      </c>
      <c r="H104" s="13">
        <v>3.744</v>
      </c>
      <c r="I104" s="13">
        <v>0.7</v>
      </c>
      <c r="J104" s="13" t="s">
        <v>451</v>
      </c>
      <c r="K104" s="13">
        <v>0</v>
      </c>
      <c r="L104" s="13">
        <v>73</v>
      </c>
      <c r="M104" s="13">
        <v>0</v>
      </c>
      <c r="N104" s="13">
        <v>0</v>
      </c>
      <c r="O104" s="13">
        <v>1797</v>
      </c>
      <c r="P104" s="13">
        <v>1321</v>
      </c>
      <c r="Q104" s="13">
        <v>27</v>
      </c>
      <c r="R104" s="13">
        <v>476</v>
      </c>
      <c r="S104" s="13">
        <v>1321</v>
      </c>
      <c r="T104" s="13">
        <v>27</v>
      </c>
      <c r="U104" s="13">
        <v>476</v>
      </c>
      <c r="V104" s="13" t="s">
        <v>132</v>
      </c>
      <c r="W104" s="13">
        <v>661</v>
      </c>
      <c r="X104" s="13" t="s">
        <v>133</v>
      </c>
      <c r="Y104" s="13" t="s">
        <v>134</v>
      </c>
      <c r="Z104" s="13" t="s"/>
      <c r="AA104" s="13" t="s">
        <v>452</v>
      </c>
      <c r="AB104" s="13" t="s">
        <v>136</v>
      </c>
      <c r="AC104" s="13" t="s">
        <v>137</v>
      </c>
      <c r="AD104" s="13" t="s">
        <v>138</v>
      </c>
      <c r="AE104" s="13" t="s">
        <v>138</v>
      </c>
      <c r="AF104" s="13">
        <v>0</v>
      </c>
      <c r="AG104" s="13">
        <v>0</v>
      </c>
      <c r="AH104" s="13">
        <v>0</v>
      </c>
      <c r="AI104" s="13" t="s"/>
      <c r="AJ104" s="13" t="s"/>
      <c r="AK104" s="13" t="s"/>
      <c r="AL104" s="13">
        <v>0</v>
      </c>
      <c r="AM104" s="13">
        <v>0</v>
      </c>
      <c r="AN104" s="13">
        <v>0</v>
      </c>
      <c r="AO104" s="13">
        <v>13.21</v>
      </c>
      <c r="AP104" s="13">
        <v>38</v>
      </c>
      <c r="AQ104" s="13">
        <v>78</v>
      </c>
      <c r="AR104" s="13">
        <v>458.52</v>
      </c>
      <c r="AS104" s="13">
        <v>25</v>
      </c>
      <c r="AT104" s="13">
        <v>0</v>
      </c>
      <c r="AU104" s="13">
        <v>47</v>
      </c>
      <c r="AV104" s="13">
        <v>10</v>
      </c>
      <c r="AW104" s="13">
        <v>30</v>
      </c>
      <c r="AX104" s="13">
        <v>0</v>
      </c>
      <c r="AY104" s="13">
        <v>78</v>
      </c>
      <c r="AZ104" s="13">
        <v>300</v>
      </c>
      <c r="BA104" s="13">
        <v>25</v>
      </c>
      <c r="BB104" s="13" t="s"/>
      <c r="BC104" s="13" t="s"/>
      <c r="BD104" s="1">
        <f>=IF(IF(BC104&lt;&gt;"",IF(BB104&lt;&gt;"",CEILING(((BB104-BC104)/BB104)*100,1),IF(AND(O104&lt;&gt;"",O104&gt;0),CEILING((((O104-BC104)/O104)*100),1),"")),"")&gt;=0,IF(BC104&lt;&gt;"",IF(BB104&lt;&gt;"",CEILING(((BB104-BC104)/BB104)*100,1),IF(AND(O104&lt;&gt;"",O104&gt;0),CEILING((((O104-BC104)/O104)*100),1),"")),""), "Ошибка: цена до скидки должна быть больше текущей.")</f>
      </c>
      <c r="BE104" s="13" t="s"/>
      <c r="BF104" s="13" t="s"/>
      <c r="BG104" s="13" t="s"/>
      <c r="BH104" s="13" t="s"/>
      <c r="BI104" s="13" t="s"/>
      <c r="BJ104" s="13" t="s"/>
      <c r="BK104" s="13" t="s"/>
    </row>
    <row r="105" ht="20" customHeight="true">
      <c r="A105" s="13" t="s">
        <v>453</v>
      </c>
      <c r="B105" s="13">
        <v>1608838710</v>
      </c>
      <c r="C105" s="13" t="s">
        <v>425</v>
      </c>
      <c r="D105" s="13" t="s">
        <v>431</v>
      </c>
      <c r="E105" s="13" t="s">
        <v>130</v>
      </c>
      <c r="F105" s="13">
        <v>0</v>
      </c>
      <c r="G105" s="13">
        <v>0</v>
      </c>
      <c r="H105" s="13">
        <v>3.744</v>
      </c>
      <c r="I105" s="13">
        <v>0.7</v>
      </c>
      <c r="J105" s="13" t="s">
        <v>454</v>
      </c>
      <c r="K105" s="13">
        <v>0</v>
      </c>
      <c r="L105" s="13">
        <v>15</v>
      </c>
      <c r="M105" s="13">
        <v>0</v>
      </c>
      <c r="N105" s="13">
        <v>0</v>
      </c>
      <c r="O105" s="13">
        <v>1797</v>
      </c>
      <c r="P105" s="13">
        <v>1313</v>
      </c>
      <c r="Q105" s="13">
        <v>27</v>
      </c>
      <c r="R105" s="13">
        <v>484</v>
      </c>
      <c r="S105" s="13">
        <v>1313</v>
      </c>
      <c r="T105" s="13">
        <v>56</v>
      </c>
      <c r="U105" s="13">
        <v>1000</v>
      </c>
      <c r="V105" s="13" t="s">
        <v>132</v>
      </c>
      <c r="W105" s="13">
        <v>657</v>
      </c>
      <c r="X105" s="13" t="s">
        <v>133</v>
      </c>
      <c r="Y105" s="13" t="s">
        <v>134</v>
      </c>
      <c r="Z105" s="13" t="s"/>
      <c r="AA105" s="13" t="s">
        <v>455</v>
      </c>
      <c r="AB105" s="13" t="s">
        <v>172</v>
      </c>
      <c r="AC105" s="13" t="s">
        <v>173</v>
      </c>
      <c r="AD105" s="13" t="s">
        <v>138</v>
      </c>
      <c r="AE105" s="13" t="s">
        <v>138</v>
      </c>
      <c r="AF105" s="13">
        <v>0</v>
      </c>
      <c r="AG105" s="13">
        <v>871</v>
      </c>
      <c r="AH105" s="13">
        <v>871</v>
      </c>
      <c r="AI105" s="13" t="s">
        <v>428</v>
      </c>
      <c r="AJ105" s="13" t="s">
        <v>428</v>
      </c>
      <c r="AK105" s="13" t="s">
        <v>327</v>
      </c>
      <c r="AL105" s="13">
        <v>0</v>
      </c>
      <c r="AM105" s="13">
        <v>0.84</v>
      </c>
      <c r="AN105" s="13">
        <v>0.84</v>
      </c>
      <c r="AO105" s="13">
        <v>13.13</v>
      </c>
      <c r="AP105" s="13">
        <v>38</v>
      </c>
      <c r="AQ105" s="13">
        <v>78</v>
      </c>
      <c r="AR105" s="13">
        <v>457.56</v>
      </c>
      <c r="AS105" s="13">
        <v>25</v>
      </c>
      <c r="AT105" s="13">
        <v>0</v>
      </c>
      <c r="AU105" s="13">
        <v>47</v>
      </c>
      <c r="AV105" s="13">
        <v>10</v>
      </c>
      <c r="AW105" s="13">
        <v>30</v>
      </c>
      <c r="AX105" s="13">
        <v>0</v>
      </c>
      <c r="AY105" s="13">
        <v>78</v>
      </c>
      <c r="AZ105" s="13">
        <v>300</v>
      </c>
      <c r="BA105" s="13">
        <v>25</v>
      </c>
      <c r="BB105" s="13" t="s"/>
      <c r="BC105" s="13" t="s"/>
      <c r="BD105" s="1">
        <f>=IF(IF(BC105&lt;&gt;"",IF(BB105&lt;&gt;"",CEILING(((BB105-BC105)/BB105)*100,1),IF(AND(O105&lt;&gt;"",O105&gt;0),CEILING((((O105-BC105)/O105)*100),1),"")),"")&gt;=0,IF(BC105&lt;&gt;"",IF(BB105&lt;&gt;"",CEILING(((BB105-BC105)/BB105)*100,1),IF(AND(O105&lt;&gt;"",O105&gt;0),CEILING((((O105-BC105)/O105)*100),1),"")),""), "Ошибка: цена до скидки должна быть больше текущей.")</f>
      </c>
      <c r="BE105" s="13" t="s"/>
      <c r="BF105" s="13" t="s"/>
      <c r="BG105" s="13" t="s"/>
      <c r="BH105" s="13" t="s"/>
      <c r="BI105" s="13" t="s"/>
      <c r="BJ105" s="13" t="s"/>
      <c r="BK105" s="13" t="s"/>
    </row>
    <row r="106" ht="20" customHeight="true">
      <c r="A106" s="13" t="s">
        <v>456</v>
      </c>
      <c r="B106" s="13">
        <v>1608838557</v>
      </c>
      <c r="C106" s="13" t="s">
        <v>425</v>
      </c>
      <c r="D106" s="13" t="s">
        <v>431</v>
      </c>
      <c r="E106" s="13" t="s">
        <v>130</v>
      </c>
      <c r="F106" s="13">
        <v>0</v>
      </c>
      <c r="G106" s="13">
        <v>0</v>
      </c>
      <c r="H106" s="13">
        <v>3.744</v>
      </c>
      <c r="I106" s="13">
        <v>0.7</v>
      </c>
      <c r="J106" s="13" t="s">
        <v>457</v>
      </c>
      <c r="K106" s="13">
        <v>0</v>
      </c>
      <c r="L106" s="13">
        <v>57</v>
      </c>
      <c r="M106" s="13">
        <v>0</v>
      </c>
      <c r="N106" s="13">
        <v>0</v>
      </c>
      <c r="O106" s="13">
        <v>1797</v>
      </c>
      <c r="P106" s="13">
        <v>1321</v>
      </c>
      <c r="Q106" s="13">
        <v>27</v>
      </c>
      <c r="R106" s="13">
        <v>476</v>
      </c>
      <c r="S106" s="13">
        <v>1321</v>
      </c>
      <c r="T106" s="13">
        <v>56</v>
      </c>
      <c r="U106" s="13">
        <v>994</v>
      </c>
      <c r="V106" s="13" t="s">
        <v>132</v>
      </c>
      <c r="W106" s="13">
        <v>661</v>
      </c>
      <c r="X106" s="13" t="s">
        <v>133</v>
      </c>
      <c r="Y106" s="13" t="s">
        <v>134</v>
      </c>
      <c r="Z106" s="13" t="s"/>
      <c r="AA106" s="13" t="s">
        <v>427</v>
      </c>
      <c r="AB106" s="13" t="s">
        <v>136</v>
      </c>
      <c r="AC106" s="13" t="s">
        <v>155</v>
      </c>
      <c r="AD106" s="13" t="s">
        <v>138</v>
      </c>
      <c r="AE106" s="13" t="s">
        <v>138</v>
      </c>
      <c r="AF106" s="13">
        <v>0</v>
      </c>
      <c r="AG106" s="13">
        <v>520</v>
      </c>
      <c r="AH106" s="13">
        <v>520</v>
      </c>
      <c r="AI106" s="13" t="s">
        <v>222</v>
      </c>
      <c r="AJ106" s="13" t="s">
        <v>222</v>
      </c>
      <c r="AK106" s="13" t="s">
        <v>140</v>
      </c>
      <c r="AL106" s="13">
        <v>0</v>
      </c>
      <c r="AM106" s="13">
        <v>1.29</v>
      </c>
      <c r="AN106" s="13">
        <v>1.29</v>
      </c>
      <c r="AO106" s="13">
        <v>13.21</v>
      </c>
      <c r="AP106" s="13">
        <v>38</v>
      </c>
      <c r="AQ106" s="13">
        <v>78</v>
      </c>
      <c r="AR106" s="13">
        <v>458.52</v>
      </c>
      <c r="AS106" s="13">
        <v>25</v>
      </c>
      <c r="AT106" s="13">
        <v>0</v>
      </c>
      <c r="AU106" s="13">
        <v>47</v>
      </c>
      <c r="AV106" s="13">
        <v>10</v>
      </c>
      <c r="AW106" s="13">
        <v>30</v>
      </c>
      <c r="AX106" s="13">
        <v>0</v>
      </c>
      <c r="AY106" s="13">
        <v>78</v>
      </c>
      <c r="AZ106" s="13">
        <v>300</v>
      </c>
      <c r="BA106" s="13">
        <v>25</v>
      </c>
      <c r="BB106" s="13" t="s"/>
      <c r="BC106" s="13" t="s"/>
      <c r="BD106" s="1">
        <f>=IF(IF(BC106&lt;&gt;"",IF(BB106&lt;&gt;"",CEILING(((BB106-BC106)/BB106)*100,1),IF(AND(O106&lt;&gt;"",O106&gt;0),CEILING((((O106-BC106)/O106)*100),1),"")),"")&gt;=0,IF(BC106&lt;&gt;"",IF(BB106&lt;&gt;"",CEILING(((BB106-BC106)/BB106)*100,1),IF(AND(O106&lt;&gt;"",O106&gt;0),CEILING((((O106-BC106)/O106)*100),1),"")),""), "Ошибка: цена до скидки должна быть больше текущей.")</f>
      </c>
      <c r="BE106" s="13" t="s"/>
      <c r="BF106" s="13" t="s"/>
      <c r="BG106" s="13" t="s"/>
      <c r="BH106" s="13" t="s"/>
      <c r="BI106" s="13" t="s"/>
      <c r="BJ106" s="13" t="s"/>
      <c r="BK106" s="13" t="s"/>
    </row>
    <row r="107" ht="20" customHeight="true">
      <c r="A107" s="13" t="s">
        <v>458</v>
      </c>
      <c r="B107" s="13">
        <v>1608838620</v>
      </c>
      <c r="C107" s="13" t="s">
        <v>425</v>
      </c>
      <c r="D107" s="13" t="s">
        <v>129</v>
      </c>
      <c r="E107" s="13" t="s">
        <v>130</v>
      </c>
      <c r="F107" s="13">
        <v>29</v>
      </c>
      <c r="G107" s="13">
        <v>0</v>
      </c>
      <c r="H107" s="13">
        <v>3.744</v>
      </c>
      <c r="I107" s="13">
        <v>0.7</v>
      </c>
      <c r="J107" s="13" t="s">
        <v>459</v>
      </c>
      <c r="K107" s="13">
        <v>1310</v>
      </c>
      <c r="L107" s="13">
        <v>563</v>
      </c>
      <c r="M107" s="13">
        <v>0.18</v>
      </c>
      <c r="N107" s="13">
        <v>1</v>
      </c>
      <c r="O107" s="13">
        <v>1797</v>
      </c>
      <c r="P107" s="13">
        <v>1310</v>
      </c>
      <c r="Q107" s="13">
        <v>28</v>
      </c>
      <c r="R107" s="13">
        <v>487</v>
      </c>
      <c r="S107" s="13">
        <v>1310</v>
      </c>
      <c r="T107" s="13">
        <v>48</v>
      </c>
      <c r="U107" s="13">
        <v>860</v>
      </c>
      <c r="V107" s="13" t="s">
        <v>132</v>
      </c>
      <c r="W107" s="13">
        <v>655</v>
      </c>
      <c r="X107" s="13" t="s">
        <v>133</v>
      </c>
      <c r="Y107" s="13" t="s">
        <v>134</v>
      </c>
      <c r="Z107" s="13" t="s"/>
      <c r="AA107" s="13" t="s">
        <v>460</v>
      </c>
      <c r="AB107" s="13" t="s">
        <v>172</v>
      </c>
      <c r="AC107" s="13" t="s">
        <v>173</v>
      </c>
      <c r="AD107" s="13" t="s">
        <v>138</v>
      </c>
      <c r="AE107" s="13" t="s">
        <v>138</v>
      </c>
      <c r="AF107" s="13">
        <v>0</v>
      </c>
      <c r="AG107" s="13">
        <v>871</v>
      </c>
      <c r="AH107" s="13">
        <v>871</v>
      </c>
      <c r="AI107" s="13" t="s">
        <v>449</v>
      </c>
      <c r="AJ107" s="13" t="s">
        <v>449</v>
      </c>
      <c r="AK107" s="13" t="s">
        <v>429</v>
      </c>
      <c r="AL107" s="13">
        <v>0</v>
      </c>
      <c r="AM107" s="13">
        <v>0.98</v>
      </c>
      <c r="AN107" s="13">
        <v>0.98</v>
      </c>
      <c r="AO107" s="13">
        <v>13.1</v>
      </c>
      <c r="AP107" s="13">
        <v>38</v>
      </c>
      <c r="AQ107" s="13">
        <v>78</v>
      </c>
      <c r="AR107" s="13">
        <v>457.2</v>
      </c>
      <c r="AS107" s="13">
        <v>25</v>
      </c>
      <c r="AT107" s="13">
        <v>0</v>
      </c>
      <c r="AU107" s="13">
        <v>47</v>
      </c>
      <c r="AV107" s="13">
        <v>10</v>
      </c>
      <c r="AW107" s="13">
        <v>30</v>
      </c>
      <c r="AX107" s="13">
        <v>0</v>
      </c>
      <c r="AY107" s="13">
        <v>78</v>
      </c>
      <c r="AZ107" s="13">
        <v>300</v>
      </c>
      <c r="BA107" s="13">
        <v>25</v>
      </c>
      <c r="BB107" s="13" t="s"/>
      <c r="BC107" s="13" t="s"/>
      <c r="BD107" s="1">
        <f>=IF(IF(BC107&lt;&gt;"",IF(BB107&lt;&gt;"",CEILING(((BB107-BC107)/BB107)*100,1),IF(AND(O107&lt;&gt;"",O107&gt;0),CEILING((((O107-BC107)/O107)*100),1),"")),"")&gt;=0,IF(BC107&lt;&gt;"",IF(BB107&lt;&gt;"",CEILING(((BB107-BC107)/BB107)*100,1),IF(AND(O107&lt;&gt;"",O107&gt;0),CEILING((((O107-BC107)/O107)*100),1),"")),""), "Ошибка: цена до скидки должна быть больше текущей.")</f>
      </c>
      <c r="BE107" s="13" t="s"/>
      <c r="BF107" s="13" t="s"/>
      <c r="BG107" s="13" t="s"/>
      <c r="BH107" s="13" t="s"/>
      <c r="BI107" s="13" t="s"/>
      <c r="BJ107" s="13" t="s"/>
      <c r="BK107" s="13" t="s"/>
    </row>
    <row r="108" ht="20" customHeight="true">
      <c r="A108" s="13" t="s">
        <v>461</v>
      </c>
      <c r="B108" s="13">
        <v>1606040949</v>
      </c>
      <c r="C108" s="13" t="s">
        <v>425</v>
      </c>
      <c r="D108" s="13" t="s">
        <v>129</v>
      </c>
      <c r="E108" s="13" t="s">
        <v>130</v>
      </c>
      <c r="F108" s="13">
        <v>66</v>
      </c>
      <c r="G108" s="13">
        <v>0</v>
      </c>
      <c r="H108" s="13">
        <v>3.744</v>
      </c>
      <c r="I108" s="13">
        <v>0.7</v>
      </c>
      <c r="J108" s="13" t="s">
        <v>462</v>
      </c>
      <c r="K108" s="13">
        <v>0</v>
      </c>
      <c r="L108" s="13">
        <v>1473</v>
      </c>
      <c r="M108" s="13">
        <v>0</v>
      </c>
      <c r="N108" s="13">
        <v>0</v>
      </c>
      <c r="O108" s="13">
        <v>1797</v>
      </c>
      <c r="P108" s="13">
        <v>1321</v>
      </c>
      <c r="Q108" s="13">
        <v>27</v>
      </c>
      <c r="R108" s="13">
        <v>476</v>
      </c>
      <c r="S108" s="13">
        <v>1321</v>
      </c>
      <c r="T108" s="13">
        <v>48</v>
      </c>
      <c r="U108" s="13">
        <v>852</v>
      </c>
      <c r="V108" s="13" t="s">
        <v>132</v>
      </c>
      <c r="W108" s="13">
        <v>661</v>
      </c>
      <c r="X108" s="13" t="s">
        <v>133</v>
      </c>
      <c r="Y108" s="13" t="s">
        <v>134</v>
      </c>
      <c r="Z108" s="13" t="s"/>
      <c r="AA108" s="13" t="s">
        <v>448</v>
      </c>
      <c r="AB108" s="13" t="s">
        <v>154</v>
      </c>
      <c r="AC108" s="13" t="s">
        <v>155</v>
      </c>
      <c r="AD108" s="13" t="s">
        <v>138</v>
      </c>
      <c r="AE108" s="13" t="s">
        <v>138</v>
      </c>
      <c r="AF108" s="13">
        <v>0</v>
      </c>
      <c r="AG108" s="13">
        <v>871</v>
      </c>
      <c r="AH108" s="13">
        <v>871</v>
      </c>
      <c r="AI108" s="13" t="s">
        <v>463</v>
      </c>
      <c r="AJ108" s="13" t="s">
        <v>463</v>
      </c>
      <c r="AK108" s="13" t="s">
        <v>429</v>
      </c>
      <c r="AL108" s="13">
        <v>0</v>
      </c>
      <c r="AM108" s="13">
        <v>0.99</v>
      </c>
      <c r="AN108" s="13">
        <v>0.99</v>
      </c>
      <c r="AO108" s="13">
        <v>13.21</v>
      </c>
      <c r="AP108" s="13">
        <v>38</v>
      </c>
      <c r="AQ108" s="13">
        <v>78</v>
      </c>
      <c r="AR108" s="13">
        <v>458.52</v>
      </c>
      <c r="AS108" s="13">
        <v>25</v>
      </c>
      <c r="AT108" s="13">
        <v>0</v>
      </c>
      <c r="AU108" s="13">
        <v>47</v>
      </c>
      <c r="AV108" s="13">
        <v>10</v>
      </c>
      <c r="AW108" s="13">
        <v>30</v>
      </c>
      <c r="AX108" s="13">
        <v>0</v>
      </c>
      <c r="AY108" s="13">
        <v>78</v>
      </c>
      <c r="AZ108" s="13">
        <v>300</v>
      </c>
      <c r="BA108" s="13">
        <v>25</v>
      </c>
      <c r="BB108" s="13" t="s"/>
      <c r="BC108" s="13" t="s"/>
      <c r="BD108" s="1">
        <f>=IF(IF(BC108&lt;&gt;"",IF(BB108&lt;&gt;"",CEILING(((BB108-BC108)/BB108)*100,1),IF(AND(O108&lt;&gt;"",O108&gt;0),CEILING((((O108-BC108)/O108)*100),1),"")),"")&gt;=0,IF(BC108&lt;&gt;"",IF(BB108&lt;&gt;"",CEILING(((BB108-BC108)/BB108)*100,1),IF(AND(O108&lt;&gt;"",O108&gt;0),CEILING((((O108-BC108)/O108)*100),1),"")),""), "Ошибка: цена до скидки должна быть больше текущей.")</f>
      </c>
      <c r="BE108" s="13" t="s"/>
      <c r="BF108" s="13" t="s"/>
      <c r="BG108" s="13" t="s"/>
      <c r="BH108" s="13" t="s"/>
      <c r="BI108" s="13" t="s"/>
      <c r="BJ108" s="13" t="s"/>
      <c r="BK108" s="13" t="s"/>
    </row>
    <row r="109" ht="20" customHeight="true">
      <c r="A109" s="13" t="s">
        <v>464</v>
      </c>
      <c r="B109" s="13">
        <v>1608838426</v>
      </c>
      <c r="C109" s="13" t="s">
        <v>425</v>
      </c>
      <c r="D109" s="13" t="s">
        <v>431</v>
      </c>
      <c r="E109" s="13" t="s">
        <v>130</v>
      </c>
      <c r="F109" s="13">
        <v>0</v>
      </c>
      <c r="G109" s="13">
        <v>0</v>
      </c>
      <c r="H109" s="13">
        <v>3.744</v>
      </c>
      <c r="I109" s="13">
        <v>0.7</v>
      </c>
      <c r="J109" s="13" t="s">
        <v>465</v>
      </c>
      <c r="K109" s="13">
        <v>0</v>
      </c>
      <c r="L109" s="13">
        <v>56</v>
      </c>
      <c r="M109" s="13">
        <v>0</v>
      </c>
      <c r="N109" s="13">
        <v>0</v>
      </c>
      <c r="O109" s="13">
        <v>1797</v>
      </c>
      <c r="P109" s="13">
        <v>1321</v>
      </c>
      <c r="Q109" s="13">
        <v>27</v>
      </c>
      <c r="R109" s="13">
        <v>476</v>
      </c>
      <c r="S109" s="13">
        <v>1321</v>
      </c>
      <c r="T109" s="13">
        <v>27</v>
      </c>
      <c r="U109" s="13">
        <v>476</v>
      </c>
      <c r="V109" s="13" t="s">
        <v>132</v>
      </c>
      <c r="W109" s="13">
        <v>661</v>
      </c>
      <c r="X109" s="13" t="s">
        <v>133</v>
      </c>
      <c r="Y109" s="13" t="s">
        <v>134</v>
      </c>
      <c r="Z109" s="13" t="s"/>
      <c r="AA109" s="13" t="s">
        <v>466</v>
      </c>
      <c r="AB109" s="13" t="s">
        <v>172</v>
      </c>
      <c r="AC109" s="13" t="s">
        <v>137</v>
      </c>
      <c r="AD109" s="13" t="s">
        <v>138</v>
      </c>
      <c r="AE109" s="13" t="s">
        <v>138</v>
      </c>
      <c r="AF109" s="13">
        <v>0</v>
      </c>
      <c r="AG109" s="13">
        <v>0</v>
      </c>
      <c r="AH109" s="13">
        <v>0</v>
      </c>
      <c r="AI109" s="13" t="s"/>
      <c r="AJ109" s="13" t="s"/>
      <c r="AK109" s="13" t="s"/>
      <c r="AL109" s="13">
        <v>0</v>
      </c>
      <c r="AM109" s="13">
        <v>0</v>
      </c>
      <c r="AN109" s="13">
        <v>0</v>
      </c>
      <c r="AO109" s="13">
        <v>13.21</v>
      </c>
      <c r="AP109" s="13">
        <v>38</v>
      </c>
      <c r="AQ109" s="13">
        <v>78</v>
      </c>
      <c r="AR109" s="13">
        <v>458.52</v>
      </c>
      <c r="AS109" s="13">
        <v>25</v>
      </c>
      <c r="AT109" s="13">
        <v>0</v>
      </c>
      <c r="AU109" s="13">
        <v>47</v>
      </c>
      <c r="AV109" s="13">
        <v>10</v>
      </c>
      <c r="AW109" s="13">
        <v>30</v>
      </c>
      <c r="AX109" s="13">
        <v>0</v>
      </c>
      <c r="AY109" s="13">
        <v>78</v>
      </c>
      <c r="AZ109" s="13">
        <v>300</v>
      </c>
      <c r="BA109" s="13">
        <v>25</v>
      </c>
      <c r="BB109" s="13" t="s"/>
      <c r="BC109" s="13" t="s"/>
      <c r="BD109" s="1">
        <f>=IF(IF(BC109&lt;&gt;"",IF(BB109&lt;&gt;"",CEILING(((BB109-BC109)/BB109)*100,1),IF(AND(O109&lt;&gt;"",O109&gt;0),CEILING((((O109-BC109)/O109)*100),1),"")),"")&gt;=0,IF(BC109&lt;&gt;"",IF(BB109&lt;&gt;"",CEILING(((BB109-BC109)/BB109)*100,1),IF(AND(O109&lt;&gt;"",O109&gt;0),CEILING((((O109-BC109)/O109)*100),1),"")),""), "Ошибка: цена до скидки должна быть больше текущей.")</f>
      </c>
      <c r="BE109" s="13" t="s"/>
      <c r="BF109" s="13" t="s"/>
      <c r="BG109" s="13" t="s"/>
      <c r="BH109" s="13" t="s"/>
      <c r="BI109" s="13" t="s"/>
      <c r="BJ109" s="13" t="s"/>
      <c r="BK109" s="13" t="s"/>
    </row>
    <row r="110" ht="20" customHeight="true">
      <c r="A110" s="13" t="s">
        <v>467</v>
      </c>
      <c r="B110" s="13">
        <v>1608838368</v>
      </c>
      <c r="C110" s="13" t="s">
        <v>425</v>
      </c>
      <c r="D110" s="13" t="s">
        <v>431</v>
      </c>
      <c r="E110" s="13" t="s">
        <v>130</v>
      </c>
      <c r="F110" s="13">
        <v>0</v>
      </c>
      <c r="G110" s="13">
        <v>0</v>
      </c>
      <c r="H110" s="13">
        <v>3.744</v>
      </c>
      <c r="I110" s="13">
        <v>0.7</v>
      </c>
      <c r="J110" s="13" t="s">
        <v>468</v>
      </c>
      <c r="K110" s="13">
        <v>0</v>
      </c>
      <c r="L110" s="13">
        <v>103</v>
      </c>
      <c r="M110" s="13">
        <v>0</v>
      </c>
      <c r="N110" s="13">
        <v>0</v>
      </c>
      <c r="O110" s="13">
        <v>1797</v>
      </c>
      <c r="P110" s="13">
        <v>1321</v>
      </c>
      <c r="Q110" s="13">
        <v>27</v>
      </c>
      <c r="R110" s="13">
        <v>476</v>
      </c>
      <c r="S110" s="13">
        <v>1321</v>
      </c>
      <c r="T110" s="13">
        <v>27</v>
      </c>
      <c r="U110" s="13">
        <v>476</v>
      </c>
      <c r="V110" s="13" t="s">
        <v>132</v>
      </c>
      <c r="W110" s="13">
        <v>661</v>
      </c>
      <c r="X110" s="13" t="s">
        <v>133</v>
      </c>
      <c r="Y110" s="13" t="s">
        <v>134</v>
      </c>
      <c r="Z110" s="13" t="s"/>
      <c r="AA110" s="13" t="s">
        <v>469</v>
      </c>
      <c r="AB110" s="13" t="s">
        <v>136</v>
      </c>
      <c r="AC110" s="13" t="s">
        <v>137</v>
      </c>
      <c r="AD110" s="13" t="s">
        <v>138</v>
      </c>
      <c r="AE110" s="13" t="s">
        <v>138</v>
      </c>
      <c r="AF110" s="13">
        <v>0</v>
      </c>
      <c r="AG110" s="13">
        <v>0</v>
      </c>
      <c r="AH110" s="13">
        <v>0</v>
      </c>
      <c r="AI110" s="13" t="s"/>
      <c r="AJ110" s="13" t="s"/>
      <c r="AK110" s="13" t="s"/>
      <c r="AL110" s="13">
        <v>0</v>
      </c>
      <c r="AM110" s="13">
        <v>0</v>
      </c>
      <c r="AN110" s="13">
        <v>0</v>
      </c>
      <c r="AO110" s="13">
        <v>13.21</v>
      </c>
      <c r="AP110" s="13">
        <v>38</v>
      </c>
      <c r="AQ110" s="13">
        <v>78</v>
      </c>
      <c r="AR110" s="13">
        <v>458.52</v>
      </c>
      <c r="AS110" s="13">
        <v>25</v>
      </c>
      <c r="AT110" s="13">
        <v>0</v>
      </c>
      <c r="AU110" s="13">
        <v>47</v>
      </c>
      <c r="AV110" s="13">
        <v>10</v>
      </c>
      <c r="AW110" s="13">
        <v>30</v>
      </c>
      <c r="AX110" s="13">
        <v>0</v>
      </c>
      <c r="AY110" s="13">
        <v>78</v>
      </c>
      <c r="AZ110" s="13">
        <v>300</v>
      </c>
      <c r="BA110" s="13">
        <v>25</v>
      </c>
      <c r="BB110" s="13" t="s"/>
      <c r="BC110" s="13" t="s"/>
      <c r="BD110" s="1">
        <f>=IF(IF(BC110&lt;&gt;"",IF(BB110&lt;&gt;"",CEILING(((BB110-BC110)/BB110)*100,1),IF(AND(O110&lt;&gt;"",O110&gt;0),CEILING((((O110-BC110)/O110)*100),1),"")),"")&gt;=0,IF(BC110&lt;&gt;"",IF(BB110&lt;&gt;"",CEILING(((BB110-BC110)/BB110)*100,1),IF(AND(O110&lt;&gt;"",O110&gt;0),CEILING((((O110-BC110)/O110)*100),1),"")),""), "Ошибка: цена до скидки должна быть больше текущей.")</f>
      </c>
      <c r="BE110" s="13" t="s"/>
      <c r="BF110" s="13" t="s"/>
      <c r="BG110" s="13" t="s"/>
      <c r="BH110" s="13" t="s"/>
      <c r="BI110" s="13" t="s"/>
      <c r="BJ110" s="13" t="s"/>
      <c r="BK110" s="13" t="s"/>
    </row>
    <row r="111" ht="20" customHeight="true">
      <c r="A111" s="13" t="s">
        <v>470</v>
      </c>
      <c r="B111" s="13">
        <v>2274493053</v>
      </c>
      <c r="C111" s="13" t="s">
        <v>128</v>
      </c>
      <c r="D111" s="13" t="s">
        <v>129</v>
      </c>
      <c r="E111" s="13" t="s">
        <v>130</v>
      </c>
      <c r="F111" s="13">
        <v>962</v>
      </c>
      <c r="G111" s="13">
        <v>0</v>
      </c>
      <c r="H111" s="13">
        <v>2.912</v>
      </c>
      <c r="I111" s="13">
        <v>0.6</v>
      </c>
      <c r="J111" s="13" t="s">
        <v>471</v>
      </c>
      <c r="K111" s="13">
        <v>16064</v>
      </c>
      <c r="L111" s="13">
        <v>3213</v>
      </c>
      <c r="M111" s="13">
        <v>0.5</v>
      </c>
      <c r="N111" s="13">
        <v>16</v>
      </c>
      <c r="O111" s="13">
        <v>1366</v>
      </c>
      <c r="P111" s="13">
        <v>1004</v>
      </c>
      <c r="Q111" s="13">
        <v>27</v>
      </c>
      <c r="R111" s="13">
        <v>362</v>
      </c>
      <c r="S111" s="13">
        <v>1004</v>
      </c>
      <c r="T111" s="13">
        <v>48</v>
      </c>
      <c r="U111" s="13">
        <v>643</v>
      </c>
      <c r="V111" s="13" t="s">
        <v>132</v>
      </c>
      <c r="W111" s="13">
        <v>502</v>
      </c>
      <c r="X111" s="13" t="s">
        <v>133</v>
      </c>
      <c r="Y111" s="13" t="s">
        <v>134</v>
      </c>
      <c r="Z111" s="13" t="s"/>
      <c r="AA111" s="13" t="s">
        <v>261</v>
      </c>
      <c r="AB111" s="13" t="s">
        <v>136</v>
      </c>
      <c r="AC111" s="13" t="s">
        <v>137</v>
      </c>
      <c r="AD111" s="13" t="s">
        <v>138</v>
      </c>
      <c r="AE111" s="13" t="s">
        <v>138</v>
      </c>
      <c r="AF111" s="13">
        <v>0</v>
      </c>
      <c r="AG111" s="13">
        <v>520</v>
      </c>
      <c r="AH111" s="13">
        <v>520</v>
      </c>
      <c r="AI111" s="13" t="s">
        <v>231</v>
      </c>
      <c r="AJ111" s="13" t="s">
        <v>231</v>
      </c>
      <c r="AK111" s="13" t="s">
        <v>140</v>
      </c>
      <c r="AL111" s="13">
        <v>0</v>
      </c>
      <c r="AM111" s="13">
        <v>1.21</v>
      </c>
      <c r="AN111" s="13">
        <v>1.21</v>
      </c>
      <c r="AO111" s="13">
        <v>10.04</v>
      </c>
      <c r="AP111" s="13">
        <v>38</v>
      </c>
      <c r="AQ111" s="13">
        <v>74</v>
      </c>
      <c r="AR111" s="13">
        <v>356.48</v>
      </c>
      <c r="AS111" s="13">
        <v>25</v>
      </c>
      <c r="AT111" s="13">
        <v>0</v>
      </c>
      <c r="AU111" s="13">
        <v>47</v>
      </c>
      <c r="AV111" s="13">
        <v>10</v>
      </c>
      <c r="AW111" s="13">
        <v>30</v>
      </c>
      <c r="AX111" s="13">
        <v>0</v>
      </c>
      <c r="AY111" s="13">
        <v>74</v>
      </c>
      <c r="AZ111" s="13">
        <v>236</v>
      </c>
      <c r="BA111" s="13">
        <v>25</v>
      </c>
      <c r="BB111" s="13" t="s"/>
      <c r="BC111" s="13" t="s"/>
      <c r="BD111" s="1">
        <f>=IF(IF(BC111&lt;&gt;"",IF(BB111&lt;&gt;"",CEILING(((BB111-BC111)/BB111)*100,1),IF(AND(O111&lt;&gt;"",O111&gt;0),CEILING((((O111-BC111)/O111)*100),1),"")),"")&gt;=0,IF(BC111&lt;&gt;"",IF(BB111&lt;&gt;"",CEILING(((BB111-BC111)/BB111)*100,1),IF(AND(O111&lt;&gt;"",O111&gt;0),CEILING((((O111-BC111)/O111)*100),1),"")),""), "Ошибка: цена до скидки должна быть больше текущей.")</f>
      </c>
      <c r="BE111" s="13" t="s"/>
      <c r="BF111" s="13" t="s"/>
      <c r="BG111" s="13" t="s"/>
      <c r="BH111" s="13" t="s"/>
      <c r="BI111" s="13" t="s"/>
      <c r="BJ111" s="13" t="s"/>
      <c r="BK111" s="13" t="s"/>
    </row>
    <row r="112" ht="20" customHeight="true">
      <c r="A112" s="13" t="s">
        <v>472</v>
      </c>
      <c r="B112" s="13">
        <v>2432667842</v>
      </c>
      <c r="C112" s="13" t="s">
        <v>321</v>
      </c>
      <c r="D112" s="13" t="s">
        <v>431</v>
      </c>
      <c r="E112" s="13" t="s">
        <v>130</v>
      </c>
      <c r="F112" s="13">
        <v>0</v>
      </c>
      <c r="G112" s="13">
        <v>0</v>
      </c>
      <c r="H112" s="13">
        <v>5.824</v>
      </c>
      <c r="I112" s="13">
        <v>1.2</v>
      </c>
      <c r="J112" s="13" t="s">
        <v>473</v>
      </c>
      <c r="K112" s="13">
        <v>0</v>
      </c>
      <c r="L112" s="13">
        <v>7</v>
      </c>
      <c r="M112" s="13">
        <v>0</v>
      </c>
      <c r="N112" s="13">
        <v>0</v>
      </c>
      <c r="O112" s="13">
        <v>6386</v>
      </c>
      <c r="P112" s="13">
        <v>4696</v>
      </c>
      <c r="Q112" s="13">
        <v>27</v>
      </c>
      <c r="R112" s="13">
        <v>1690</v>
      </c>
      <c r="S112" s="13">
        <v>4696</v>
      </c>
      <c r="T112" s="13">
        <v>27</v>
      </c>
      <c r="U112" s="13">
        <v>1690</v>
      </c>
      <c r="V112" s="13" t="s">
        <v>132</v>
      </c>
      <c r="W112" s="13">
        <v>2348</v>
      </c>
      <c r="X112" s="13" t="s">
        <v>133</v>
      </c>
      <c r="Y112" s="13" t="s">
        <v>134</v>
      </c>
      <c r="Z112" s="13" t="s"/>
      <c r="AA112" s="13" t="s">
        <v>350</v>
      </c>
      <c r="AB112" s="13" t="s">
        <v>345</v>
      </c>
      <c r="AC112" s="13" t="s">
        <v>474</v>
      </c>
      <c r="AD112" s="13" t="s">
        <v>138</v>
      </c>
      <c r="AE112" s="13" t="s">
        <v>138</v>
      </c>
      <c r="AF112" s="13">
        <v>0</v>
      </c>
      <c r="AG112" s="13">
        <v>0</v>
      </c>
      <c r="AH112" s="13">
        <v>0</v>
      </c>
      <c r="AI112" s="13" t="s"/>
      <c r="AJ112" s="13" t="s"/>
      <c r="AK112" s="13" t="s"/>
      <c r="AL112" s="13">
        <v>0</v>
      </c>
      <c r="AM112" s="13">
        <v>0</v>
      </c>
      <c r="AN112" s="13">
        <v>0</v>
      </c>
      <c r="AO112" s="13">
        <v>46.96</v>
      </c>
      <c r="AP112" s="13">
        <v>46</v>
      </c>
      <c r="AQ112" s="13">
        <v>89</v>
      </c>
      <c r="AR112" s="13">
        <v>940.52</v>
      </c>
      <c r="AS112" s="13">
        <v>25</v>
      </c>
      <c r="AT112" s="13">
        <v>0</v>
      </c>
      <c r="AU112" s="13">
        <v>52</v>
      </c>
      <c r="AV112" s="13">
        <v>10</v>
      </c>
      <c r="AW112" s="13">
        <v>30</v>
      </c>
      <c r="AX112" s="13">
        <v>0</v>
      </c>
      <c r="AY112" s="13">
        <v>89</v>
      </c>
      <c r="AZ112" s="13">
        <v>377</v>
      </c>
      <c r="BA112" s="13">
        <v>25</v>
      </c>
      <c r="BB112" s="13" t="s"/>
      <c r="BC112" s="13" t="s"/>
      <c r="BD112" s="1">
        <f>=IF(IF(BC112&lt;&gt;"",IF(BB112&lt;&gt;"",CEILING(((BB112-BC112)/BB112)*100,1),IF(AND(O112&lt;&gt;"",O112&gt;0),CEILING((((O112-BC112)/O112)*100),1),"")),"")&gt;=0,IF(BC112&lt;&gt;"",IF(BB112&lt;&gt;"",CEILING(((BB112-BC112)/BB112)*100,1),IF(AND(O112&lt;&gt;"",O112&gt;0),CEILING((((O112-BC112)/O112)*100),1),"")),""), "Ошибка: цена до скидки должна быть больше текущей.")</f>
      </c>
      <c r="BE112" s="13" t="s"/>
      <c r="BF112" s="13" t="s"/>
      <c r="BG112" s="13" t="s"/>
      <c r="BH112" s="13" t="s"/>
      <c r="BI112" s="13" t="s"/>
      <c r="BJ112" s="13" t="s"/>
      <c r="BK112" s="13" t="s"/>
    </row>
    <row r="113" ht="20" customHeight="true">
      <c r="A113" s="13" t="s">
        <v>475</v>
      </c>
      <c r="B113" s="13">
        <v>2432667780</v>
      </c>
      <c r="C113" s="13" t="s">
        <v>321</v>
      </c>
      <c r="D113" s="13" t="s">
        <v>129</v>
      </c>
      <c r="E113" s="13" t="s">
        <v>130</v>
      </c>
      <c r="F113" s="13">
        <v>53</v>
      </c>
      <c r="G113" s="13">
        <v>0</v>
      </c>
      <c r="H113" s="13">
        <v>5.824</v>
      </c>
      <c r="I113" s="13">
        <v>1.2</v>
      </c>
      <c r="J113" s="13" t="s">
        <v>476</v>
      </c>
      <c r="K113" s="13">
        <v>9358</v>
      </c>
      <c r="L113" s="13">
        <v>906</v>
      </c>
      <c r="M113" s="13">
        <v>0.22</v>
      </c>
      <c r="N113" s="13">
        <v>2</v>
      </c>
      <c r="O113" s="13">
        <v>6386</v>
      </c>
      <c r="P113" s="13">
        <v>4679</v>
      </c>
      <c r="Q113" s="13">
        <v>27</v>
      </c>
      <c r="R113" s="13">
        <v>1707</v>
      </c>
      <c r="S113" s="13">
        <v>4679</v>
      </c>
      <c r="T113" s="13">
        <v>55</v>
      </c>
      <c r="U113" s="13">
        <v>3493</v>
      </c>
      <c r="V113" s="13" t="s">
        <v>132</v>
      </c>
      <c r="W113" s="13">
        <v>2340</v>
      </c>
      <c r="X113" s="13" t="s">
        <v>133</v>
      </c>
      <c r="Y113" s="13" t="s">
        <v>134</v>
      </c>
      <c r="Z113" s="13" t="s"/>
      <c r="AA113" s="13" t="s">
        <v>477</v>
      </c>
      <c r="AB113" s="13" t="s">
        <v>345</v>
      </c>
      <c r="AC113" s="13" t="s">
        <v>474</v>
      </c>
      <c r="AD113" s="13" t="s">
        <v>138</v>
      </c>
      <c r="AE113" s="13" t="s">
        <v>138</v>
      </c>
      <c r="AF113" s="13">
        <v>0</v>
      </c>
      <c r="AG113" s="13">
        <v>2823</v>
      </c>
      <c r="AH113" s="13">
        <v>2823</v>
      </c>
      <c r="AI113" s="13" t="s">
        <v>326</v>
      </c>
      <c r="AJ113" s="13" t="s">
        <v>326</v>
      </c>
      <c r="AK113" s="13" t="s">
        <v>327</v>
      </c>
      <c r="AL113" s="13">
        <v>0</v>
      </c>
      <c r="AM113" s="13">
        <v>0.94</v>
      </c>
      <c r="AN113" s="13">
        <v>0.94</v>
      </c>
      <c r="AO113" s="13">
        <v>46.79</v>
      </c>
      <c r="AP113" s="13">
        <v>46</v>
      </c>
      <c r="AQ113" s="13">
        <v>89</v>
      </c>
      <c r="AR113" s="13">
        <v>938.48</v>
      </c>
      <c r="AS113" s="13">
        <v>25</v>
      </c>
      <c r="AT113" s="13">
        <v>0</v>
      </c>
      <c r="AU113" s="13">
        <v>52</v>
      </c>
      <c r="AV113" s="13">
        <v>10</v>
      </c>
      <c r="AW113" s="13">
        <v>30</v>
      </c>
      <c r="AX113" s="13">
        <v>0</v>
      </c>
      <c r="AY113" s="13">
        <v>89</v>
      </c>
      <c r="AZ113" s="13">
        <v>377</v>
      </c>
      <c r="BA113" s="13">
        <v>25</v>
      </c>
      <c r="BB113" s="13" t="s"/>
      <c r="BC113" s="13" t="s"/>
      <c r="BD113" s="1">
        <f>=IF(IF(BC113&lt;&gt;"",IF(BB113&lt;&gt;"",CEILING(((BB113-BC113)/BB113)*100,1),IF(AND(O113&lt;&gt;"",O113&gt;0),CEILING((((O113-BC113)/O113)*100),1),"")),"")&gt;=0,IF(BC113&lt;&gt;"",IF(BB113&lt;&gt;"",CEILING(((BB113-BC113)/BB113)*100,1),IF(AND(O113&lt;&gt;"",O113&gt;0),CEILING((((O113-BC113)/O113)*100),1),"")),""), "Ошибка: цена до скидки должна быть больше текущей.")</f>
      </c>
      <c r="BE113" s="13" t="s"/>
      <c r="BF113" s="13" t="s"/>
      <c r="BG113" s="13" t="s"/>
      <c r="BH113" s="13" t="s"/>
      <c r="BI113" s="13" t="s"/>
      <c r="BJ113" s="13" t="s"/>
      <c r="BK113" s="13" t="s"/>
    </row>
    <row r="114" ht="20" customHeight="true">
      <c r="A114" s="13" t="s">
        <v>478</v>
      </c>
      <c r="B114" s="13">
        <v>2432667346</v>
      </c>
      <c r="C114" s="13" t="s">
        <v>321</v>
      </c>
      <c r="D114" s="13" t="s">
        <v>129</v>
      </c>
      <c r="E114" s="13" t="s">
        <v>130</v>
      </c>
      <c r="F114" s="13">
        <v>15</v>
      </c>
      <c r="G114" s="13">
        <v>0</v>
      </c>
      <c r="H114" s="13">
        <v>5.824</v>
      </c>
      <c r="I114" s="13">
        <v>1.2</v>
      </c>
      <c r="J114" s="13" t="s">
        <v>479</v>
      </c>
      <c r="K114" s="13">
        <v>0</v>
      </c>
      <c r="L114" s="13">
        <v>307</v>
      </c>
      <c r="M114" s="13">
        <v>0</v>
      </c>
      <c r="N114" s="13">
        <v>0</v>
      </c>
      <c r="O114" s="13">
        <v>6386</v>
      </c>
      <c r="P114" s="13">
        <v>4696</v>
      </c>
      <c r="Q114" s="13">
        <v>27</v>
      </c>
      <c r="R114" s="13">
        <v>1690</v>
      </c>
      <c r="S114" s="13">
        <v>4696</v>
      </c>
      <c r="T114" s="13">
        <v>55</v>
      </c>
      <c r="U114" s="13">
        <v>3483</v>
      </c>
      <c r="V114" s="13" t="s">
        <v>132</v>
      </c>
      <c r="W114" s="13">
        <v>2348</v>
      </c>
      <c r="X114" s="13" t="s">
        <v>133</v>
      </c>
      <c r="Y114" s="13" t="s">
        <v>134</v>
      </c>
      <c r="Z114" s="13" t="s"/>
      <c r="AA114" s="13" t="s">
        <v>350</v>
      </c>
      <c r="AB114" s="13" t="s">
        <v>345</v>
      </c>
      <c r="AC114" s="13" t="s">
        <v>474</v>
      </c>
      <c r="AD114" s="13" t="s">
        <v>138</v>
      </c>
      <c r="AE114" s="13" t="s">
        <v>138</v>
      </c>
      <c r="AF114" s="13">
        <v>0</v>
      </c>
      <c r="AG114" s="13">
        <v>2867</v>
      </c>
      <c r="AH114" s="13">
        <v>2867</v>
      </c>
      <c r="AI114" s="13" t="s">
        <v>480</v>
      </c>
      <c r="AJ114" s="13" t="s">
        <v>480</v>
      </c>
      <c r="AK114" s="13" t="s">
        <v>327</v>
      </c>
      <c r="AL114" s="13">
        <v>0</v>
      </c>
      <c r="AM114" s="13">
        <v>0.93</v>
      </c>
      <c r="AN114" s="13">
        <v>0.93</v>
      </c>
      <c r="AO114" s="13">
        <v>46.96</v>
      </c>
      <c r="AP114" s="13">
        <v>46</v>
      </c>
      <c r="AQ114" s="13">
        <v>89</v>
      </c>
      <c r="AR114" s="13">
        <v>940.52</v>
      </c>
      <c r="AS114" s="13">
        <v>25</v>
      </c>
      <c r="AT114" s="13">
        <v>0</v>
      </c>
      <c r="AU114" s="13">
        <v>52</v>
      </c>
      <c r="AV114" s="13">
        <v>10</v>
      </c>
      <c r="AW114" s="13">
        <v>30</v>
      </c>
      <c r="AX114" s="13">
        <v>0</v>
      </c>
      <c r="AY114" s="13">
        <v>89</v>
      </c>
      <c r="AZ114" s="13">
        <v>377</v>
      </c>
      <c r="BA114" s="13">
        <v>25</v>
      </c>
      <c r="BB114" s="13" t="s"/>
      <c r="BC114" s="13" t="s"/>
      <c r="BD114" s="1">
        <f>=IF(IF(BC114&lt;&gt;"",IF(BB114&lt;&gt;"",CEILING(((BB114-BC114)/BB114)*100,1),IF(AND(O114&lt;&gt;"",O114&gt;0),CEILING((((O114-BC114)/O114)*100),1),"")),"")&gt;=0,IF(BC114&lt;&gt;"",IF(BB114&lt;&gt;"",CEILING(((BB114-BC114)/BB114)*100,1),IF(AND(O114&lt;&gt;"",O114&gt;0),CEILING((((O114-BC114)/O114)*100),1),"")),""), "Ошибка: цена до скидки должна быть больше текущей.")</f>
      </c>
      <c r="BE114" s="13" t="s"/>
      <c r="BF114" s="13" t="s"/>
      <c r="BG114" s="13" t="s"/>
      <c r="BH114" s="13" t="s"/>
      <c r="BI114" s="13" t="s"/>
      <c r="BJ114" s="13" t="s"/>
      <c r="BK114" s="13" t="s"/>
    </row>
    <row r="115" ht="20" customHeight="true">
      <c r="A115" s="13" t="s">
        <v>481</v>
      </c>
      <c r="B115" s="13">
        <v>2432667382</v>
      </c>
      <c r="C115" s="13" t="s">
        <v>321</v>
      </c>
      <c r="D115" s="13" t="s">
        <v>129</v>
      </c>
      <c r="E115" s="13" t="s">
        <v>130</v>
      </c>
      <c r="F115" s="13">
        <v>28</v>
      </c>
      <c r="G115" s="13">
        <v>0</v>
      </c>
      <c r="H115" s="13">
        <v>5.824</v>
      </c>
      <c r="I115" s="13">
        <v>1.2</v>
      </c>
      <c r="J115" s="13" t="s">
        <v>482</v>
      </c>
      <c r="K115" s="13">
        <v>0</v>
      </c>
      <c r="L115" s="13">
        <v>435</v>
      </c>
      <c r="M115" s="13">
        <v>0</v>
      </c>
      <c r="N115" s="13">
        <v>0</v>
      </c>
      <c r="O115" s="13">
        <v>6386</v>
      </c>
      <c r="P115" s="13">
        <v>4679</v>
      </c>
      <c r="Q115" s="13">
        <v>27</v>
      </c>
      <c r="R115" s="13">
        <v>1707</v>
      </c>
      <c r="S115" s="13">
        <v>4679</v>
      </c>
      <c r="T115" s="13">
        <v>55</v>
      </c>
      <c r="U115" s="13">
        <v>3493</v>
      </c>
      <c r="V115" s="13" t="s">
        <v>132</v>
      </c>
      <c r="W115" s="13">
        <v>2340</v>
      </c>
      <c r="X115" s="13" t="s">
        <v>133</v>
      </c>
      <c r="Y115" s="13" t="s">
        <v>134</v>
      </c>
      <c r="Z115" s="13" t="s"/>
      <c r="AA115" s="13" t="s">
        <v>483</v>
      </c>
      <c r="AB115" s="13" t="s">
        <v>356</v>
      </c>
      <c r="AC115" s="13" t="s">
        <v>346</v>
      </c>
      <c r="AD115" s="13" t="s">
        <v>138</v>
      </c>
      <c r="AE115" s="13" t="s">
        <v>138</v>
      </c>
      <c r="AF115" s="13">
        <v>0</v>
      </c>
      <c r="AG115" s="13">
        <v>2823</v>
      </c>
      <c r="AH115" s="13">
        <v>2823</v>
      </c>
      <c r="AI115" s="13" t="s">
        <v>326</v>
      </c>
      <c r="AJ115" s="13" t="s">
        <v>326</v>
      </c>
      <c r="AK115" s="13" t="s">
        <v>327</v>
      </c>
      <c r="AL115" s="13">
        <v>0</v>
      </c>
      <c r="AM115" s="13">
        <v>0.94</v>
      </c>
      <c r="AN115" s="13">
        <v>0.94</v>
      </c>
      <c r="AO115" s="13">
        <v>46.79</v>
      </c>
      <c r="AP115" s="13">
        <v>46</v>
      </c>
      <c r="AQ115" s="13">
        <v>89</v>
      </c>
      <c r="AR115" s="13">
        <v>938.48</v>
      </c>
      <c r="AS115" s="13">
        <v>25</v>
      </c>
      <c r="AT115" s="13">
        <v>0</v>
      </c>
      <c r="AU115" s="13">
        <v>52</v>
      </c>
      <c r="AV115" s="13">
        <v>10</v>
      </c>
      <c r="AW115" s="13">
        <v>30</v>
      </c>
      <c r="AX115" s="13">
        <v>0</v>
      </c>
      <c r="AY115" s="13">
        <v>89</v>
      </c>
      <c r="AZ115" s="13">
        <v>377</v>
      </c>
      <c r="BA115" s="13">
        <v>25</v>
      </c>
      <c r="BB115" s="13" t="s"/>
      <c r="BC115" s="13" t="s"/>
      <c r="BD115" s="1">
        <f>=IF(IF(BC115&lt;&gt;"",IF(BB115&lt;&gt;"",CEILING(((BB115-BC115)/BB115)*100,1),IF(AND(O115&lt;&gt;"",O115&gt;0),CEILING((((O115-BC115)/O115)*100),1),"")),"")&gt;=0,IF(BC115&lt;&gt;"",IF(BB115&lt;&gt;"",CEILING(((BB115-BC115)/BB115)*100,1),IF(AND(O115&lt;&gt;"",O115&gt;0),CEILING((((O115-BC115)/O115)*100),1),"")),""), "Ошибка: цена до скидки должна быть больше текущей.")</f>
      </c>
      <c r="BE115" s="13" t="s"/>
      <c r="BF115" s="13" t="s"/>
      <c r="BG115" s="13" t="s"/>
      <c r="BH115" s="13" t="s"/>
      <c r="BI115" s="13" t="s"/>
      <c r="BJ115" s="13" t="s"/>
      <c r="BK115" s="13" t="s"/>
    </row>
    <row r="116" ht="20" customHeight="true">
      <c r="A116" s="13" t="s">
        <v>484</v>
      </c>
      <c r="B116" s="13">
        <v>2432667445</v>
      </c>
      <c r="C116" s="13" t="s">
        <v>321</v>
      </c>
      <c r="D116" s="13" t="s">
        <v>129</v>
      </c>
      <c r="E116" s="13" t="s">
        <v>130</v>
      </c>
      <c r="F116" s="13">
        <v>30</v>
      </c>
      <c r="G116" s="13">
        <v>0</v>
      </c>
      <c r="H116" s="13">
        <v>5.824</v>
      </c>
      <c r="I116" s="13">
        <v>1.2</v>
      </c>
      <c r="J116" s="13" t="s">
        <v>485</v>
      </c>
      <c r="K116" s="13">
        <v>4679</v>
      </c>
      <c r="L116" s="13">
        <v>672</v>
      </c>
      <c r="M116" s="13">
        <v>0.15</v>
      </c>
      <c r="N116" s="13">
        <v>1</v>
      </c>
      <c r="O116" s="13">
        <v>6386</v>
      </c>
      <c r="P116" s="13">
        <v>4679</v>
      </c>
      <c r="Q116" s="13">
        <v>27</v>
      </c>
      <c r="R116" s="13">
        <v>1707</v>
      </c>
      <c r="S116" s="13">
        <v>4679</v>
      </c>
      <c r="T116" s="13">
        <v>55</v>
      </c>
      <c r="U116" s="13">
        <v>3493</v>
      </c>
      <c r="V116" s="13" t="s">
        <v>132</v>
      </c>
      <c r="W116" s="13">
        <v>2340</v>
      </c>
      <c r="X116" s="13" t="s">
        <v>133</v>
      </c>
      <c r="Y116" s="13" t="s">
        <v>134</v>
      </c>
      <c r="Z116" s="13" t="s"/>
      <c r="AA116" s="13" t="s">
        <v>486</v>
      </c>
      <c r="AB116" s="13" t="s">
        <v>345</v>
      </c>
      <c r="AC116" s="13" t="s">
        <v>474</v>
      </c>
      <c r="AD116" s="13" t="s">
        <v>138</v>
      </c>
      <c r="AE116" s="13" t="s">
        <v>138</v>
      </c>
      <c r="AF116" s="13">
        <v>0</v>
      </c>
      <c r="AG116" s="13">
        <v>2823</v>
      </c>
      <c r="AH116" s="13">
        <v>2823</v>
      </c>
      <c r="AI116" s="13" t="s">
        <v>326</v>
      </c>
      <c r="AJ116" s="13" t="s">
        <v>326</v>
      </c>
      <c r="AK116" s="13" t="s">
        <v>327</v>
      </c>
      <c r="AL116" s="13">
        <v>0</v>
      </c>
      <c r="AM116" s="13">
        <v>0.94</v>
      </c>
      <c r="AN116" s="13">
        <v>0.94</v>
      </c>
      <c r="AO116" s="13">
        <v>46.79</v>
      </c>
      <c r="AP116" s="13">
        <v>46</v>
      </c>
      <c r="AQ116" s="13">
        <v>89</v>
      </c>
      <c r="AR116" s="13">
        <v>938.48</v>
      </c>
      <c r="AS116" s="13">
        <v>25</v>
      </c>
      <c r="AT116" s="13">
        <v>0</v>
      </c>
      <c r="AU116" s="13">
        <v>52</v>
      </c>
      <c r="AV116" s="13">
        <v>10</v>
      </c>
      <c r="AW116" s="13">
        <v>30</v>
      </c>
      <c r="AX116" s="13">
        <v>0</v>
      </c>
      <c r="AY116" s="13">
        <v>89</v>
      </c>
      <c r="AZ116" s="13">
        <v>377</v>
      </c>
      <c r="BA116" s="13">
        <v>25</v>
      </c>
      <c r="BB116" s="13" t="s"/>
      <c r="BC116" s="13" t="s"/>
      <c r="BD116" s="1">
        <f>=IF(IF(BC116&lt;&gt;"",IF(BB116&lt;&gt;"",CEILING(((BB116-BC116)/BB116)*100,1),IF(AND(O116&lt;&gt;"",O116&gt;0),CEILING((((O116-BC116)/O116)*100),1),"")),"")&gt;=0,IF(BC116&lt;&gt;"",IF(BB116&lt;&gt;"",CEILING(((BB116-BC116)/BB116)*100,1),IF(AND(O116&lt;&gt;"",O116&gt;0),CEILING((((O116-BC116)/O116)*100),1),"")),""), "Ошибка: цена до скидки должна быть больше текущей.")</f>
      </c>
      <c r="BE116" s="13" t="s"/>
      <c r="BF116" s="13" t="s"/>
      <c r="BG116" s="13" t="s"/>
      <c r="BH116" s="13" t="s"/>
      <c r="BI116" s="13" t="s"/>
      <c r="BJ116" s="13" t="s"/>
      <c r="BK116" s="13" t="s"/>
    </row>
    <row r="117" ht="20" customHeight="true">
      <c r="A117" s="13" t="s">
        <v>487</v>
      </c>
      <c r="B117" s="13">
        <v>2436004857</v>
      </c>
      <c r="C117" s="13" t="s">
        <v>128</v>
      </c>
      <c r="D117" s="13" t="s">
        <v>129</v>
      </c>
      <c r="E117" s="13" t="s">
        <v>130</v>
      </c>
      <c r="F117" s="13">
        <v>1053</v>
      </c>
      <c r="G117" s="13">
        <v>0</v>
      </c>
      <c r="H117" s="13">
        <v>1.782</v>
      </c>
      <c r="I117" s="13">
        <v>0.4</v>
      </c>
      <c r="J117" s="13" t="s">
        <v>488</v>
      </c>
      <c r="K117" s="13">
        <v>32232</v>
      </c>
      <c r="L117" s="13">
        <v>7379</v>
      </c>
      <c r="M117" s="13">
        <v>0.46</v>
      </c>
      <c r="N117" s="13">
        <v>34</v>
      </c>
      <c r="O117" s="13">
        <v>1366</v>
      </c>
      <c r="P117" s="13">
        <v>1004</v>
      </c>
      <c r="Q117" s="13">
        <v>27</v>
      </c>
      <c r="R117" s="13">
        <v>362</v>
      </c>
      <c r="S117" s="13">
        <v>948</v>
      </c>
      <c r="T117" s="13">
        <v>61</v>
      </c>
      <c r="U117" s="13">
        <v>828</v>
      </c>
      <c r="V117" s="13" t="s">
        <v>132</v>
      </c>
      <c r="W117" s="13">
        <v>980</v>
      </c>
      <c r="X117" s="13" t="s">
        <v>138</v>
      </c>
      <c r="Y117" s="13" t="s">
        <v>147</v>
      </c>
      <c r="Z117" s="13" t="s"/>
      <c r="AA117" s="13" t="s">
        <v>186</v>
      </c>
      <c r="AB117" s="13" t="s">
        <v>187</v>
      </c>
      <c r="AC117" s="13" t="s">
        <v>188</v>
      </c>
      <c r="AD117" s="13" t="s">
        <v>138</v>
      </c>
      <c r="AE117" s="13" t="s">
        <v>138</v>
      </c>
      <c r="AF117" s="13">
        <v>0</v>
      </c>
      <c r="AG117" s="13">
        <v>364</v>
      </c>
      <c r="AH117" s="13">
        <v>364</v>
      </c>
      <c r="AI117" s="13" t="s">
        <v>174</v>
      </c>
      <c r="AJ117" s="13" t="s">
        <v>174</v>
      </c>
      <c r="AK117" s="13" t="s">
        <v>140</v>
      </c>
      <c r="AL117" s="13">
        <v>0</v>
      </c>
      <c r="AM117" s="13">
        <v>1.26</v>
      </c>
      <c r="AN117" s="13">
        <v>1.26</v>
      </c>
      <c r="AO117" s="13">
        <v>9.48</v>
      </c>
      <c r="AP117" s="13">
        <v>38</v>
      </c>
      <c r="AQ117" s="13">
        <v>74</v>
      </c>
      <c r="AR117" s="13">
        <v>331.76</v>
      </c>
      <c r="AS117" s="13">
        <v>25</v>
      </c>
      <c r="AT117" s="13">
        <v>0</v>
      </c>
      <c r="AU117" s="13">
        <v>47</v>
      </c>
      <c r="AV117" s="13">
        <v>10</v>
      </c>
      <c r="AW117" s="13">
        <v>30</v>
      </c>
      <c r="AX117" s="13">
        <v>0</v>
      </c>
      <c r="AY117" s="13">
        <v>74</v>
      </c>
      <c r="AZ117" s="13">
        <v>218</v>
      </c>
      <c r="BA117" s="13">
        <v>25</v>
      </c>
      <c r="BB117" s="13" t="s"/>
      <c r="BC117" s="13" t="s"/>
      <c r="BD117" s="1">
        <f>=IF(IF(BC117&lt;&gt;"",IF(BB117&lt;&gt;"",CEILING(((BB117-BC117)/BB117)*100,1),IF(AND(O117&lt;&gt;"",O117&gt;0),CEILING((((O117-BC117)/O117)*100),1),"")),"")&gt;=0,IF(BC117&lt;&gt;"",IF(BB117&lt;&gt;"",CEILING(((BB117-BC117)/BB117)*100,1),IF(AND(O117&lt;&gt;"",O117&gt;0),CEILING((((O117-BC117)/O117)*100),1),"")),""), "Ошибка: цена до скидки должна быть больше текущей.")</f>
      </c>
      <c r="BE117" s="13" t="s"/>
      <c r="BF117" s="13" t="s"/>
      <c r="BG117" s="13" t="s"/>
      <c r="BH117" s="13" t="s"/>
      <c r="BI117" s="13" t="s"/>
      <c r="BJ117" s="13" t="s"/>
      <c r="BK117" s="13" t="s"/>
    </row>
    <row r="118" ht="20" customHeight="true">
      <c r="A118" s="13" t="s">
        <v>489</v>
      </c>
      <c r="B118" s="13">
        <v>2436057014</v>
      </c>
      <c r="C118" s="13" t="s">
        <v>128</v>
      </c>
      <c r="D118" s="13" t="s">
        <v>129</v>
      </c>
      <c r="E118" s="13" t="s">
        <v>130</v>
      </c>
      <c r="F118" s="13">
        <v>1009</v>
      </c>
      <c r="G118" s="13">
        <v>0</v>
      </c>
      <c r="H118" s="13">
        <v>1.782</v>
      </c>
      <c r="I118" s="13">
        <v>0.4</v>
      </c>
      <c r="J118" s="13" t="s">
        <v>490</v>
      </c>
      <c r="K118" s="13">
        <v>10040</v>
      </c>
      <c r="L118" s="13">
        <v>1453</v>
      </c>
      <c r="M118" s="13">
        <v>0.69</v>
      </c>
      <c r="N118" s="13">
        <v>10</v>
      </c>
      <c r="O118" s="13">
        <v>1366</v>
      </c>
      <c r="P118" s="13">
        <v>1004</v>
      </c>
      <c r="Q118" s="13">
        <v>27</v>
      </c>
      <c r="R118" s="13">
        <v>362</v>
      </c>
      <c r="S118" s="13">
        <v>1004</v>
      </c>
      <c r="T118" s="13">
        <v>48</v>
      </c>
      <c r="U118" s="13">
        <v>655</v>
      </c>
      <c r="V118" s="13" t="s">
        <v>132</v>
      </c>
      <c r="W118" s="13">
        <v>502</v>
      </c>
      <c r="X118" s="13" t="s">
        <v>133</v>
      </c>
      <c r="Y118" s="13" t="s">
        <v>134</v>
      </c>
      <c r="Z118" s="13" t="s"/>
      <c r="AA118" s="13" t="s">
        <v>218</v>
      </c>
      <c r="AB118" s="13" t="s">
        <v>172</v>
      </c>
      <c r="AC118" s="13" t="s">
        <v>173</v>
      </c>
      <c r="AD118" s="13" t="s">
        <v>138</v>
      </c>
      <c r="AE118" s="13" t="s">
        <v>138</v>
      </c>
      <c r="AF118" s="13">
        <v>0</v>
      </c>
      <c r="AG118" s="13">
        <v>364</v>
      </c>
      <c r="AH118" s="13">
        <v>364</v>
      </c>
      <c r="AI118" s="13" t="s">
        <v>174</v>
      </c>
      <c r="AJ118" s="13" t="s">
        <v>174</v>
      </c>
      <c r="AK118" s="13" t="s">
        <v>140</v>
      </c>
      <c r="AL118" s="13">
        <v>0</v>
      </c>
      <c r="AM118" s="13">
        <v>1.44</v>
      </c>
      <c r="AN118" s="13">
        <v>1.44</v>
      </c>
      <c r="AO118" s="13">
        <v>10.04</v>
      </c>
      <c r="AP118" s="13">
        <v>38</v>
      </c>
      <c r="AQ118" s="13">
        <v>74</v>
      </c>
      <c r="AR118" s="13">
        <v>338.48</v>
      </c>
      <c r="AS118" s="13">
        <v>25</v>
      </c>
      <c r="AT118" s="13">
        <v>0</v>
      </c>
      <c r="AU118" s="13">
        <v>47</v>
      </c>
      <c r="AV118" s="13">
        <v>10</v>
      </c>
      <c r="AW118" s="13">
        <v>30</v>
      </c>
      <c r="AX118" s="13">
        <v>0</v>
      </c>
      <c r="AY118" s="13">
        <v>74</v>
      </c>
      <c r="AZ118" s="13">
        <v>218</v>
      </c>
      <c r="BA118" s="13">
        <v>25</v>
      </c>
      <c r="BB118" s="13" t="s"/>
      <c r="BC118" s="13" t="s"/>
      <c r="BD118" s="1">
        <f>=IF(IF(BC118&lt;&gt;"",IF(BB118&lt;&gt;"",CEILING(((BB118-BC118)/BB118)*100,1),IF(AND(O118&lt;&gt;"",O118&gt;0),CEILING((((O118-BC118)/O118)*100),1),"")),"")&gt;=0,IF(BC118&lt;&gt;"",IF(BB118&lt;&gt;"",CEILING(((BB118-BC118)/BB118)*100,1),IF(AND(O118&lt;&gt;"",O118&gt;0),CEILING((((O118-BC118)/O118)*100),1),"")),""), "Ошибка: цена до скидки должна быть больше текущей.")</f>
      </c>
      <c r="BE118" s="13" t="s"/>
      <c r="BF118" s="13" t="s"/>
      <c r="BG118" s="13" t="s"/>
      <c r="BH118" s="13" t="s"/>
      <c r="BI118" s="13" t="s"/>
      <c r="BJ118" s="13" t="s"/>
      <c r="BK118" s="13" t="s"/>
    </row>
    <row r="119" ht="20" customHeight="true">
      <c r="A119" s="13" t="s">
        <v>491</v>
      </c>
      <c r="B119" s="13">
        <v>2435901694</v>
      </c>
      <c r="C119" s="13" t="s">
        <v>128</v>
      </c>
      <c r="D119" s="13" t="s">
        <v>129</v>
      </c>
      <c r="E119" s="13" t="s">
        <v>130</v>
      </c>
      <c r="F119" s="13">
        <v>1185</v>
      </c>
      <c r="G119" s="13">
        <v>0</v>
      </c>
      <c r="H119" s="13">
        <v>1.782</v>
      </c>
      <c r="I119" s="13">
        <v>0.4</v>
      </c>
      <c r="J119" s="13" t="s">
        <v>492</v>
      </c>
      <c r="K119" s="13">
        <v>13286</v>
      </c>
      <c r="L119" s="13">
        <v>3162</v>
      </c>
      <c r="M119" s="13">
        <v>0.44</v>
      </c>
      <c r="N119" s="13">
        <v>14</v>
      </c>
      <c r="O119" s="13">
        <v>1366</v>
      </c>
      <c r="P119" s="13">
        <v>1004</v>
      </c>
      <c r="Q119" s="13">
        <v>27</v>
      </c>
      <c r="R119" s="13">
        <v>362</v>
      </c>
      <c r="S119" s="13">
        <v>949</v>
      </c>
      <c r="T119" s="13">
        <v>54</v>
      </c>
      <c r="U119" s="13">
        <v>731</v>
      </c>
      <c r="V119" s="13" t="s">
        <v>132</v>
      </c>
      <c r="W119" s="13">
        <v>980</v>
      </c>
      <c r="X119" s="13" t="s">
        <v>138</v>
      </c>
      <c r="Y119" s="13" t="s">
        <v>147</v>
      </c>
      <c r="Z119" s="13" t="s"/>
      <c r="AA119" s="13" t="s">
        <v>186</v>
      </c>
      <c r="AB119" s="13" t="s">
        <v>187</v>
      </c>
      <c r="AC119" s="13" t="s">
        <v>188</v>
      </c>
      <c r="AD119" s="13" t="s">
        <v>138</v>
      </c>
      <c r="AE119" s="13" t="s">
        <v>138</v>
      </c>
      <c r="AF119" s="13">
        <v>0</v>
      </c>
      <c r="AG119" s="13">
        <v>520</v>
      </c>
      <c r="AH119" s="13">
        <v>520</v>
      </c>
      <c r="AI119" s="13" t="s">
        <v>192</v>
      </c>
      <c r="AJ119" s="13" t="s">
        <v>192</v>
      </c>
      <c r="AK119" s="13" t="s">
        <v>140</v>
      </c>
      <c r="AL119" s="13">
        <v>0</v>
      </c>
      <c r="AM119" s="13">
        <v>1.1</v>
      </c>
      <c r="AN119" s="13">
        <v>1.1</v>
      </c>
      <c r="AO119" s="13">
        <v>9.49</v>
      </c>
      <c r="AP119" s="13">
        <v>38</v>
      </c>
      <c r="AQ119" s="13">
        <v>74</v>
      </c>
      <c r="AR119" s="13">
        <v>331.88</v>
      </c>
      <c r="AS119" s="13">
        <v>25</v>
      </c>
      <c r="AT119" s="13">
        <v>0</v>
      </c>
      <c r="AU119" s="13">
        <v>47</v>
      </c>
      <c r="AV119" s="13">
        <v>10</v>
      </c>
      <c r="AW119" s="13">
        <v>30</v>
      </c>
      <c r="AX119" s="13">
        <v>0</v>
      </c>
      <c r="AY119" s="13">
        <v>74</v>
      </c>
      <c r="AZ119" s="13">
        <v>218</v>
      </c>
      <c r="BA119" s="13">
        <v>25</v>
      </c>
      <c r="BB119" s="13" t="s"/>
      <c r="BC119" s="13" t="s"/>
      <c r="BD119" s="1">
        <f>=IF(IF(BC119&lt;&gt;"",IF(BB119&lt;&gt;"",CEILING(((BB119-BC119)/BB119)*100,1),IF(AND(O119&lt;&gt;"",O119&gt;0),CEILING((((O119-BC119)/O119)*100),1),"")),"")&gt;=0,IF(BC119&lt;&gt;"",IF(BB119&lt;&gt;"",CEILING(((BB119-BC119)/BB119)*100,1),IF(AND(O119&lt;&gt;"",O119&gt;0),CEILING((((O119-BC119)/O119)*100),1),"")),""), "Ошибка: цена до скидки должна быть больше текущей.")</f>
      </c>
      <c r="BE119" s="13" t="s"/>
      <c r="BF119" s="13" t="s"/>
      <c r="BG119" s="13" t="s"/>
      <c r="BH119" s="13" t="s"/>
      <c r="BI119" s="13" t="s"/>
      <c r="BJ119" s="13" t="s"/>
      <c r="BK119" s="13" t="s"/>
    </row>
    <row r="120" ht="20" customHeight="true">
      <c r="A120" s="13" t="s">
        <v>493</v>
      </c>
      <c r="B120" s="13">
        <v>2436070323</v>
      </c>
      <c r="C120" s="13" t="s">
        <v>128</v>
      </c>
      <c r="D120" s="13" t="s">
        <v>129</v>
      </c>
      <c r="E120" s="13" t="s">
        <v>130</v>
      </c>
      <c r="F120" s="13">
        <v>564</v>
      </c>
      <c r="G120" s="13">
        <v>0</v>
      </c>
      <c r="H120" s="13">
        <v>1.782</v>
      </c>
      <c r="I120" s="13">
        <v>0.4</v>
      </c>
      <c r="J120" s="13" t="s">
        <v>494</v>
      </c>
      <c r="K120" s="13">
        <v>5020</v>
      </c>
      <c r="L120" s="13">
        <v>835</v>
      </c>
      <c r="M120" s="13">
        <v>0.6</v>
      </c>
      <c r="N120" s="13">
        <v>5</v>
      </c>
      <c r="O120" s="13">
        <v>1366</v>
      </c>
      <c r="P120" s="13">
        <v>1004</v>
      </c>
      <c r="Q120" s="13">
        <v>27</v>
      </c>
      <c r="R120" s="13">
        <v>362</v>
      </c>
      <c r="S120" s="13">
        <v>1004</v>
      </c>
      <c r="T120" s="13">
        <v>48</v>
      </c>
      <c r="U120" s="13">
        <v>655</v>
      </c>
      <c r="V120" s="13" t="s">
        <v>132</v>
      </c>
      <c r="W120" s="13">
        <v>502</v>
      </c>
      <c r="X120" s="13" t="s">
        <v>133</v>
      </c>
      <c r="Y120" s="13" t="s">
        <v>134</v>
      </c>
      <c r="Z120" s="13" t="s"/>
      <c r="AA120" s="13" t="s">
        <v>218</v>
      </c>
      <c r="AB120" s="13" t="s">
        <v>172</v>
      </c>
      <c r="AC120" s="13" t="s">
        <v>173</v>
      </c>
      <c r="AD120" s="13" t="s">
        <v>138</v>
      </c>
      <c r="AE120" s="13" t="s">
        <v>138</v>
      </c>
      <c r="AF120" s="13">
        <v>0</v>
      </c>
      <c r="AG120" s="13">
        <v>520</v>
      </c>
      <c r="AH120" s="13">
        <v>520</v>
      </c>
      <c r="AI120" s="13" t="s">
        <v>192</v>
      </c>
      <c r="AJ120" s="13" t="s">
        <v>192</v>
      </c>
      <c r="AK120" s="13" t="s">
        <v>140</v>
      </c>
      <c r="AL120" s="13">
        <v>0</v>
      </c>
      <c r="AM120" s="13">
        <v>1.2</v>
      </c>
      <c r="AN120" s="13">
        <v>1.2</v>
      </c>
      <c r="AO120" s="13">
        <v>10.04</v>
      </c>
      <c r="AP120" s="13">
        <v>38</v>
      </c>
      <c r="AQ120" s="13">
        <v>74</v>
      </c>
      <c r="AR120" s="13">
        <v>338.48</v>
      </c>
      <c r="AS120" s="13">
        <v>25</v>
      </c>
      <c r="AT120" s="13">
        <v>0</v>
      </c>
      <c r="AU120" s="13">
        <v>47</v>
      </c>
      <c r="AV120" s="13">
        <v>10</v>
      </c>
      <c r="AW120" s="13">
        <v>30</v>
      </c>
      <c r="AX120" s="13">
        <v>0</v>
      </c>
      <c r="AY120" s="13">
        <v>74</v>
      </c>
      <c r="AZ120" s="13">
        <v>218</v>
      </c>
      <c r="BA120" s="13">
        <v>25</v>
      </c>
      <c r="BB120" s="13" t="s"/>
      <c r="BC120" s="13" t="s"/>
      <c r="BD120" s="1">
        <f>=IF(IF(BC120&lt;&gt;"",IF(BB120&lt;&gt;"",CEILING(((BB120-BC120)/BB120)*100,1),IF(AND(O120&lt;&gt;"",O120&gt;0),CEILING((((O120-BC120)/O120)*100),1),"")),"")&gt;=0,IF(BC120&lt;&gt;"",IF(BB120&lt;&gt;"",CEILING(((BB120-BC120)/BB120)*100,1),IF(AND(O120&lt;&gt;"",O120&gt;0),CEILING((((O120-BC120)/O120)*100),1),"")),""), "Ошибка: цена до скидки должна быть больше текущей.")</f>
      </c>
      <c r="BE120" s="13" t="s"/>
      <c r="BF120" s="13" t="s"/>
      <c r="BG120" s="13" t="s"/>
      <c r="BH120" s="13" t="s"/>
      <c r="BI120" s="13" t="s"/>
      <c r="BJ120" s="13" t="s"/>
      <c r="BK120" s="13" t="s"/>
    </row>
    <row r="121" ht="20" customHeight="true">
      <c r="A121" s="13" t="s">
        <v>495</v>
      </c>
      <c r="B121" s="13">
        <v>2436203756</v>
      </c>
      <c r="C121" s="13" t="s">
        <v>128</v>
      </c>
      <c r="D121" s="13" t="s">
        <v>129</v>
      </c>
      <c r="E121" s="13" t="s">
        <v>130</v>
      </c>
      <c r="F121" s="13">
        <v>1266</v>
      </c>
      <c r="G121" s="13">
        <v>0</v>
      </c>
      <c r="H121" s="13">
        <v>1.782</v>
      </c>
      <c r="I121" s="13">
        <v>0.4</v>
      </c>
      <c r="J121" s="13" t="s">
        <v>496</v>
      </c>
      <c r="K121" s="13">
        <v>9350</v>
      </c>
      <c r="L121" s="13">
        <v>4865</v>
      </c>
      <c r="M121" s="13">
        <v>0.21</v>
      </c>
      <c r="N121" s="13">
        <v>10</v>
      </c>
      <c r="O121" s="13">
        <v>1366</v>
      </c>
      <c r="P121" s="13">
        <v>935</v>
      </c>
      <c r="Q121" s="13">
        <v>32</v>
      </c>
      <c r="R121" s="13">
        <v>431</v>
      </c>
      <c r="S121" s="13">
        <v>935</v>
      </c>
      <c r="T121" s="13">
        <v>55</v>
      </c>
      <c r="U121" s="13">
        <v>741</v>
      </c>
      <c r="V121" s="13" t="s">
        <v>132</v>
      </c>
      <c r="W121" s="13">
        <v>468</v>
      </c>
      <c r="X121" s="13" t="s">
        <v>133</v>
      </c>
      <c r="Y121" s="13" t="s">
        <v>134</v>
      </c>
      <c r="Z121" s="13" t="s"/>
      <c r="AA121" s="13" t="s">
        <v>159</v>
      </c>
      <c r="AB121" s="13" t="s">
        <v>180</v>
      </c>
      <c r="AC121" s="13" t="s">
        <v>181</v>
      </c>
      <c r="AD121" s="13" t="s">
        <v>138</v>
      </c>
      <c r="AE121" s="13" t="s">
        <v>138</v>
      </c>
      <c r="AF121" s="13">
        <v>0</v>
      </c>
      <c r="AG121" s="13">
        <v>572</v>
      </c>
      <c r="AH121" s="13">
        <v>572</v>
      </c>
      <c r="AI121" s="13" t="s">
        <v>497</v>
      </c>
      <c r="AJ121" s="13" t="s">
        <v>497</v>
      </c>
      <c r="AK121" s="13" t="s">
        <v>429</v>
      </c>
      <c r="AL121" s="13">
        <v>0</v>
      </c>
      <c r="AM121" s="13">
        <v>1</v>
      </c>
      <c r="AN121" s="13">
        <v>1</v>
      </c>
      <c r="AO121" s="13">
        <v>9.35</v>
      </c>
      <c r="AP121" s="13">
        <v>38</v>
      </c>
      <c r="AQ121" s="13">
        <v>74</v>
      </c>
      <c r="AR121" s="13">
        <v>330.2</v>
      </c>
      <c r="AS121" s="13">
        <v>25</v>
      </c>
      <c r="AT121" s="13">
        <v>0</v>
      </c>
      <c r="AU121" s="13">
        <v>47</v>
      </c>
      <c r="AV121" s="13">
        <v>10</v>
      </c>
      <c r="AW121" s="13">
        <v>30</v>
      </c>
      <c r="AX121" s="13">
        <v>0</v>
      </c>
      <c r="AY121" s="13">
        <v>74</v>
      </c>
      <c r="AZ121" s="13">
        <v>218</v>
      </c>
      <c r="BA121" s="13">
        <v>25</v>
      </c>
      <c r="BB121" s="13" t="s"/>
      <c r="BC121" s="13" t="s"/>
      <c r="BD121" s="1">
        <f>=IF(IF(BC121&lt;&gt;"",IF(BB121&lt;&gt;"",CEILING(((BB121-BC121)/BB121)*100,1),IF(AND(O121&lt;&gt;"",O121&gt;0),CEILING((((O121-BC121)/O121)*100),1),"")),"")&gt;=0,IF(BC121&lt;&gt;"",IF(BB121&lt;&gt;"",CEILING(((BB121-BC121)/BB121)*100,1),IF(AND(O121&lt;&gt;"",O121&gt;0),CEILING((((O121-BC121)/O121)*100),1),"")),""), "Ошибка: цена до скидки должна быть больше текущей.")</f>
      </c>
      <c r="BE121" s="13" t="s"/>
      <c r="BF121" s="13" t="s"/>
      <c r="BG121" s="13" t="s"/>
      <c r="BH121" s="13" t="s"/>
      <c r="BI121" s="13" t="s"/>
      <c r="BJ121" s="13" t="s"/>
      <c r="BK121" s="13" t="s"/>
    </row>
    <row r="122" ht="20" customHeight="true">
      <c r="A122" s="13" t="s">
        <v>498</v>
      </c>
      <c r="B122" s="13">
        <v>2436204784</v>
      </c>
      <c r="C122" s="13" t="s">
        <v>128</v>
      </c>
      <c r="D122" s="13" t="s">
        <v>129</v>
      </c>
      <c r="E122" s="13" t="s">
        <v>130</v>
      </c>
      <c r="F122" s="13">
        <v>931</v>
      </c>
      <c r="G122" s="13">
        <v>0</v>
      </c>
      <c r="H122" s="13">
        <v>1.782</v>
      </c>
      <c r="I122" s="13">
        <v>0.4</v>
      </c>
      <c r="J122" s="13" t="s">
        <v>499</v>
      </c>
      <c r="K122" s="13">
        <v>8032</v>
      </c>
      <c r="L122" s="13">
        <v>1592</v>
      </c>
      <c r="M122" s="13">
        <v>0.5</v>
      </c>
      <c r="N122" s="13">
        <v>8</v>
      </c>
      <c r="O122" s="13">
        <v>1366</v>
      </c>
      <c r="P122" s="13">
        <v>1004</v>
      </c>
      <c r="Q122" s="13">
        <v>27</v>
      </c>
      <c r="R122" s="13">
        <v>362</v>
      </c>
      <c r="S122" s="13">
        <v>1004</v>
      </c>
      <c r="T122" s="13">
        <v>48</v>
      </c>
      <c r="U122" s="13">
        <v>655</v>
      </c>
      <c r="V122" s="13" t="s">
        <v>132</v>
      </c>
      <c r="W122" s="13">
        <v>502</v>
      </c>
      <c r="X122" s="13" t="s">
        <v>133</v>
      </c>
      <c r="Y122" s="13" t="s">
        <v>134</v>
      </c>
      <c r="Z122" s="13" t="s"/>
      <c r="AA122" s="13" t="s">
        <v>500</v>
      </c>
      <c r="AB122" s="13" t="s">
        <v>136</v>
      </c>
      <c r="AC122" s="13" t="s">
        <v>137</v>
      </c>
      <c r="AD122" s="13" t="s">
        <v>138</v>
      </c>
      <c r="AE122" s="13" t="s">
        <v>138</v>
      </c>
      <c r="AF122" s="13">
        <v>0</v>
      </c>
      <c r="AG122" s="13">
        <v>572</v>
      </c>
      <c r="AH122" s="13">
        <v>572</v>
      </c>
      <c r="AI122" s="13" t="s">
        <v>497</v>
      </c>
      <c r="AJ122" s="13" t="s">
        <v>497</v>
      </c>
      <c r="AK122" s="13" t="s">
        <v>140</v>
      </c>
      <c r="AL122" s="13">
        <v>0</v>
      </c>
      <c r="AM122" s="13">
        <v>1.12</v>
      </c>
      <c r="AN122" s="13">
        <v>1.12</v>
      </c>
      <c r="AO122" s="13">
        <v>10.04</v>
      </c>
      <c r="AP122" s="13">
        <v>38</v>
      </c>
      <c r="AQ122" s="13">
        <v>74</v>
      </c>
      <c r="AR122" s="13">
        <v>338.48</v>
      </c>
      <c r="AS122" s="13">
        <v>25</v>
      </c>
      <c r="AT122" s="13">
        <v>0</v>
      </c>
      <c r="AU122" s="13">
        <v>47</v>
      </c>
      <c r="AV122" s="13">
        <v>10</v>
      </c>
      <c r="AW122" s="13">
        <v>30</v>
      </c>
      <c r="AX122" s="13">
        <v>0</v>
      </c>
      <c r="AY122" s="13">
        <v>74</v>
      </c>
      <c r="AZ122" s="13">
        <v>218</v>
      </c>
      <c r="BA122" s="13">
        <v>25</v>
      </c>
      <c r="BB122" s="13" t="s"/>
      <c r="BC122" s="13" t="s"/>
      <c r="BD122" s="1">
        <f>=IF(IF(BC122&lt;&gt;"",IF(BB122&lt;&gt;"",CEILING(((BB122-BC122)/BB122)*100,1),IF(AND(O122&lt;&gt;"",O122&gt;0),CEILING((((O122-BC122)/O122)*100),1),"")),"")&gt;=0,IF(BC122&lt;&gt;"",IF(BB122&lt;&gt;"",CEILING(((BB122-BC122)/BB122)*100,1),IF(AND(O122&lt;&gt;"",O122&gt;0),CEILING((((O122-BC122)/O122)*100),1),"")),""), "Ошибка: цена до скидки должна быть больше текущей.")</f>
      </c>
      <c r="BE122" s="13" t="s"/>
      <c r="BF122" s="13" t="s"/>
      <c r="BG122" s="13" t="s"/>
      <c r="BH122" s="13" t="s"/>
      <c r="BI122" s="13" t="s"/>
      <c r="BJ122" s="13" t="s"/>
      <c r="BK122" s="13" t="s"/>
    </row>
    <row r="123" ht="20" customHeight="true">
      <c r="A123" s="13" t="s">
        <v>501</v>
      </c>
      <c r="B123" s="13">
        <v>2436205280</v>
      </c>
      <c r="C123" s="13" t="s">
        <v>128</v>
      </c>
      <c r="D123" s="13" t="s">
        <v>129</v>
      </c>
      <c r="E123" s="13" t="s">
        <v>130</v>
      </c>
      <c r="F123" s="13">
        <v>556</v>
      </c>
      <c r="G123" s="13">
        <v>0</v>
      </c>
      <c r="H123" s="13">
        <v>1.782</v>
      </c>
      <c r="I123" s="13">
        <v>0.4</v>
      </c>
      <c r="J123" s="13" t="s">
        <v>502</v>
      </c>
      <c r="K123" s="13">
        <v>4016</v>
      </c>
      <c r="L123" s="13">
        <v>721</v>
      </c>
      <c r="M123" s="13">
        <v>0.55</v>
      </c>
      <c r="N123" s="13">
        <v>4</v>
      </c>
      <c r="O123" s="13">
        <v>1366</v>
      </c>
      <c r="P123" s="13">
        <v>1004</v>
      </c>
      <c r="Q123" s="13">
        <v>27</v>
      </c>
      <c r="R123" s="13">
        <v>362</v>
      </c>
      <c r="S123" s="13">
        <v>1004</v>
      </c>
      <c r="T123" s="13">
        <v>48</v>
      </c>
      <c r="U123" s="13">
        <v>655</v>
      </c>
      <c r="V123" s="13" t="s">
        <v>132</v>
      </c>
      <c r="W123" s="13">
        <v>502</v>
      </c>
      <c r="X123" s="13" t="s">
        <v>133</v>
      </c>
      <c r="Y123" s="13" t="s">
        <v>134</v>
      </c>
      <c r="Z123" s="13" t="s"/>
      <c r="AA123" s="13" t="s">
        <v>165</v>
      </c>
      <c r="AB123" s="13" t="s">
        <v>136</v>
      </c>
      <c r="AC123" s="13" t="s">
        <v>137</v>
      </c>
      <c r="AD123" s="13" t="s">
        <v>138</v>
      </c>
      <c r="AE123" s="13" t="s">
        <v>138</v>
      </c>
      <c r="AF123" s="13">
        <v>0</v>
      </c>
      <c r="AG123" s="13">
        <v>572</v>
      </c>
      <c r="AH123" s="13">
        <v>572</v>
      </c>
      <c r="AI123" s="13" t="s">
        <v>497</v>
      </c>
      <c r="AJ123" s="13" t="s">
        <v>497</v>
      </c>
      <c r="AK123" s="13" t="s">
        <v>140</v>
      </c>
      <c r="AL123" s="13">
        <v>0</v>
      </c>
      <c r="AM123" s="13">
        <v>1.12</v>
      </c>
      <c r="AN123" s="13">
        <v>1.12</v>
      </c>
      <c r="AO123" s="13">
        <v>10.04</v>
      </c>
      <c r="AP123" s="13">
        <v>38</v>
      </c>
      <c r="AQ123" s="13">
        <v>74</v>
      </c>
      <c r="AR123" s="13">
        <v>338.48</v>
      </c>
      <c r="AS123" s="13">
        <v>25</v>
      </c>
      <c r="AT123" s="13">
        <v>0</v>
      </c>
      <c r="AU123" s="13">
        <v>47</v>
      </c>
      <c r="AV123" s="13">
        <v>10</v>
      </c>
      <c r="AW123" s="13">
        <v>30</v>
      </c>
      <c r="AX123" s="13">
        <v>0</v>
      </c>
      <c r="AY123" s="13">
        <v>74</v>
      </c>
      <c r="AZ123" s="13">
        <v>218</v>
      </c>
      <c r="BA123" s="13">
        <v>25</v>
      </c>
      <c r="BB123" s="13" t="s"/>
      <c r="BC123" s="13" t="s"/>
      <c r="BD123" s="1">
        <f>=IF(IF(BC123&lt;&gt;"",IF(BB123&lt;&gt;"",CEILING(((BB123-BC123)/BB123)*100,1),IF(AND(O123&lt;&gt;"",O123&gt;0),CEILING((((O123-BC123)/O123)*100),1),"")),"")&gt;=0,IF(BC123&lt;&gt;"",IF(BB123&lt;&gt;"",CEILING(((BB123-BC123)/BB123)*100,1),IF(AND(O123&lt;&gt;"",O123&gt;0),CEILING((((O123-BC123)/O123)*100),1),"")),""), "Ошибка: цена до скидки должна быть больше текущей.")</f>
      </c>
      <c r="BE123" s="13" t="s"/>
      <c r="BF123" s="13" t="s"/>
      <c r="BG123" s="13" t="s"/>
      <c r="BH123" s="13" t="s"/>
      <c r="BI123" s="13" t="s"/>
      <c r="BJ123" s="13" t="s"/>
      <c r="BK123" s="13" t="s"/>
    </row>
    <row r="124" ht="20" customHeight="true">
      <c r="A124" s="13" t="s">
        <v>503</v>
      </c>
      <c r="B124" s="13">
        <v>2436214448</v>
      </c>
      <c r="C124" s="13" t="s">
        <v>128</v>
      </c>
      <c r="D124" s="13" t="s">
        <v>129</v>
      </c>
      <c r="E124" s="13" t="s">
        <v>130</v>
      </c>
      <c r="F124" s="13">
        <v>2075</v>
      </c>
      <c r="G124" s="13">
        <v>0</v>
      </c>
      <c r="H124" s="13">
        <v>1.782</v>
      </c>
      <c r="I124" s="13">
        <v>0.4</v>
      </c>
      <c r="J124" s="13" t="s">
        <v>504</v>
      </c>
      <c r="K124" s="13">
        <v>34405</v>
      </c>
      <c r="L124" s="13">
        <v>16411</v>
      </c>
      <c r="M124" s="13">
        <v>0.21</v>
      </c>
      <c r="N124" s="13">
        <v>35</v>
      </c>
      <c r="O124" s="13">
        <v>1366</v>
      </c>
      <c r="P124" s="13">
        <v>1004</v>
      </c>
      <c r="Q124" s="13">
        <v>27</v>
      </c>
      <c r="R124" s="13">
        <v>362</v>
      </c>
      <c r="S124" s="13">
        <v>983</v>
      </c>
      <c r="T124" s="13">
        <v>59</v>
      </c>
      <c r="U124" s="13">
        <v>805</v>
      </c>
      <c r="V124" s="13" t="s">
        <v>132</v>
      </c>
      <c r="W124" s="13">
        <v>973</v>
      </c>
      <c r="X124" s="13" t="s">
        <v>138</v>
      </c>
      <c r="Y124" s="13" t="s">
        <v>147</v>
      </c>
      <c r="Z124" s="13" t="s"/>
      <c r="AA124" s="13" t="s">
        <v>505</v>
      </c>
      <c r="AB124" s="13" t="s">
        <v>136</v>
      </c>
      <c r="AC124" s="13" t="s">
        <v>137</v>
      </c>
      <c r="AD124" s="13" t="s">
        <v>138</v>
      </c>
      <c r="AE124" s="13" t="s">
        <v>138</v>
      </c>
      <c r="AF124" s="13">
        <v>197.12</v>
      </c>
      <c r="AG124" s="13">
        <v>572</v>
      </c>
      <c r="AH124" s="13">
        <v>572</v>
      </c>
      <c r="AI124" s="13" t="s">
        <v>506</v>
      </c>
      <c r="AJ124" s="13" t="s">
        <v>506</v>
      </c>
      <c r="AK124" s="13" t="s">
        <v>140</v>
      </c>
      <c r="AL124" s="13">
        <v>1.62</v>
      </c>
      <c r="AM124" s="13">
        <v>0.9</v>
      </c>
      <c r="AN124" s="13">
        <v>0.9</v>
      </c>
      <c r="AO124" s="13">
        <v>9.83</v>
      </c>
      <c r="AP124" s="13">
        <v>38</v>
      </c>
      <c r="AQ124" s="13">
        <v>74</v>
      </c>
      <c r="AR124" s="13">
        <v>335.96</v>
      </c>
      <c r="AS124" s="13">
        <v>25</v>
      </c>
      <c r="AT124" s="13">
        <v>0</v>
      </c>
      <c r="AU124" s="13">
        <v>47</v>
      </c>
      <c r="AV124" s="13">
        <v>10</v>
      </c>
      <c r="AW124" s="13">
        <v>30</v>
      </c>
      <c r="AX124" s="13">
        <v>0</v>
      </c>
      <c r="AY124" s="13">
        <v>74</v>
      </c>
      <c r="AZ124" s="13">
        <v>218</v>
      </c>
      <c r="BA124" s="13">
        <v>25</v>
      </c>
      <c r="BB124" s="13" t="s"/>
      <c r="BC124" s="13" t="s"/>
      <c r="BD124" s="1">
        <f>=IF(IF(BC124&lt;&gt;"",IF(BB124&lt;&gt;"",CEILING(((BB124-BC124)/BB124)*100,1),IF(AND(O124&lt;&gt;"",O124&gt;0),CEILING((((O124-BC124)/O124)*100),1),"")),"")&gt;=0,IF(BC124&lt;&gt;"",IF(BB124&lt;&gt;"",CEILING(((BB124-BC124)/BB124)*100,1),IF(AND(O124&lt;&gt;"",O124&gt;0),CEILING((((O124-BC124)/O124)*100),1),"")),""), "Ошибка: цена до скидки должна быть больше текущей.")</f>
      </c>
      <c r="BE124" s="13" t="s"/>
      <c r="BF124" s="13" t="s"/>
      <c r="BG124" s="13" t="s"/>
      <c r="BH124" s="13" t="s"/>
      <c r="BI124" s="13" t="s"/>
      <c r="BJ124" s="13" t="s"/>
      <c r="BK124" s="13" t="s"/>
    </row>
    <row r="125" ht="20" customHeight="true">
      <c r="A125" s="13" t="s">
        <v>507</v>
      </c>
      <c r="B125" s="13">
        <v>2436250716</v>
      </c>
      <c r="C125" s="13" t="s">
        <v>128</v>
      </c>
      <c r="D125" s="13" t="s">
        <v>129</v>
      </c>
      <c r="E125" s="13" t="s">
        <v>130</v>
      </c>
      <c r="F125" s="13">
        <v>1455</v>
      </c>
      <c r="G125" s="13">
        <v>0</v>
      </c>
      <c r="H125" s="13">
        <v>1.782</v>
      </c>
      <c r="I125" s="13">
        <v>0.4</v>
      </c>
      <c r="J125" s="13" t="s">
        <v>508</v>
      </c>
      <c r="K125" s="13">
        <v>11044</v>
      </c>
      <c r="L125" s="13">
        <v>3162</v>
      </c>
      <c r="M125" s="13">
        <v>0.35</v>
      </c>
      <c r="N125" s="13">
        <v>11</v>
      </c>
      <c r="O125" s="13">
        <v>1366</v>
      </c>
      <c r="P125" s="13">
        <v>1004</v>
      </c>
      <c r="Q125" s="13">
        <v>27</v>
      </c>
      <c r="R125" s="13">
        <v>362</v>
      </c>
      <c r="S125" s="13">
        <v>1004</v>
      </c>
      <c r="T125" s="13">
        <v>48</v>
      </c>
      <c r="U125" s="13">
        <v>655</v>
      </c>
      <c r="V125" s="13" t="s">
        <v>132</v>
      </c>
      <c r="W125" s="13">
        <v>502</v>
      </c>
      <c r="X125" s="13" t="s">
        <v>133</v>
      </c>
      <c r="Y125" s="13" t="s">
        <v>134</v>
      </c>
      <c r="Z125" s="13" t="s"/>
      <c r="AA125" s="13" t="s">
        <v>162</v>
      </c>
      <c r="AB125" s="13" t="s">
        <v>136</v>
      </c>
      <c r="AC125" s="13" t="s">
        <v>137</v>
      </c>
      <c r="AD125" s="13" t="s">
        <v>138</v>
      </c>
      <c r="AE125" s="13" t="s">
        <v>138</v>
      </c>
      <c r="AF125" s="13">
        <v>0</v>
      </c>
      <c r="AG125" s="13">
        <v>572</v>
      </c>
      <c r="AH125" s="13">
        <v>572</v>
      </c>
      <c r="AI125" s="13" t="s">
        <v>506</v>
      </c>
      <c r="AJ125" s="13" t="s">
        <v>506</v>
      </c>
      <c r="AK125" s="13" t="s">
        <v>140</v>
      </c>
      <c r="AL125" s="13">
        <v>0</v>
      </c>
      <c r="AM125" s="13">
        <v>1.12</v>
      </c>
      <c r="AN125" s="13">
        <v>1.12</v>
      </c>
      <c r="AO125" s="13">
        <v>10.04</v>
      </c>
      <c r="AP125" s="13">
        <v>38</v>
      </c>
      <c r="AQ125" s="13">
        <v>74</v>
      </c>
      <c r="AR125" s="13">
        <v>338.48</v>
      </c>
      <c r="AS125" s="13">
        <v>25</v>
      </c>
      <c r="AT125" s="13">
        <v>0</v>
      </c>
      <c r="AU125" s="13">
        <v>47</v>
      </c>
      <c r="AV125" s="13">
        <v>10</v>
      </c>
      <c r="AW125" s="13">
        <v>30</v>
      </c>
      <c r="AX125" s="13">
        <v>0</v>
      </c>
      <c r="AY125" s="13">
        <v>74</v>
      </c>
      <c r="AZ125" s="13">
        <v>218</v>
      </c>
      <c r="BA125" s="13">
        <v>25</v>
      </c>
      <c r="BB125" s="13" t="s"/>
      <c r="BC125" s="13" t="s"/>
      <c r="BD125" s="1">
        <f>=IF(IF(BC125&lt;&gt;"",IF(BB125&lt;&gt;"",CEILING(((BB125-BC125)/BB125)*100,1),IF(AND(O125&lt;&gt;"",O125&gt;0),CEILING((((O125-BC125)/O125)*100),1),"")),"")&gt;=0,IF(BC125&lt;&gt;"",IF(BB125&lt;&gt;"",CEILING(((BB125-BC125)/BB125)*100,1),IF(AND(O125&lt;&gt;"",O125&gt;0),CEILING((((O125-BC125)/O125)*100),1),"")),""), "Ошибка: цена до скидки должна быть больше текущей.")</f>
      </c>
      <c r="BE125" s="13" t="s"/>
      <c r="BF125" s="13" t="s"/>
      <c r="BG125" s="13" t="s"/>
      <c r="BH125" s="13" t="s"/>
      <c r="BI125" s="13" t="s"/>
      <c r="BJ125" s="13" t="s"/>
      <c r="BK125" s="13" t="s"/>
    </row>
    <row r="126" ht="20" customHeight="true">
      <c r="A126" s="13" t="s">
        <v>509</v>
      </c>
      <c r="B126" s="13">
        <v>2436265112</v>
      </c>
      <c r="C126" s="13" t="s">
        <v>128</v>
      </c>
      <c r="D126" s="13" t="s">
        <v>129</v>
      </c>
      <c r="E126" s="13" t="s">
        <v>130</v>
      </c>
      <c r="F126" s="13">
        <v>1048</v>
      </c>
      <c r="G126" s="13">
        <v>0</v>
      </c>
      <c r="H126" s="13">
        <v>1.782</v>
      </c>
      <c r="I126" s="13">
        <v>0.4</v>
      </c>
      <c r="J126" s="13" t="s">
        <v>510</v>
      </c>
      <c r="K126" s="13">
        <v>16064</v>
      </c>
      <c r="L126" s="13">
        <v>2705</v>
      </c>
      <c r="M126" s="13">
        <v>0.59</v>
      </c>
      <c r="N126" s="13">
        <v>16</v>
      </c>
      <c r="O126" s="13">
        <v>1366</v>
      </c>
      <c r="P126" s="13">
        <v>1004</v>
      </c>
      <c r="Q126" s="13">
        <v>27</v>
      </c>
      <c r="R126" s="13">
        <v>362</v>
      </c>
      <c r="S126" s="13">
        <v>1004</v>
      </c>
      <c r="T126" s="13">
        <v>48</v>
      </c>
      <c r="U126" s="13">
        <v>655</v>
      </c>
      <c r="V126" s="13" t="s">
        <v>132</v>
      </c>
      <c r="W126" s="13">
        <v>502</v>
      </c>
      <c r="X126" s="13" t="s">
        <v>133</v>
      </c>
      <c r="Y126" s="13" t="s">
        <v>134</v>
      </c>
      <c r="Z126" s="13" t="s"/>
      <c r="AA126" s="13" t="s">
        <v>165</v>
      </c>
      <c r="AB126" s="13" t="s">
        <v>136</v>
      </c>
      <c r="AC126" s="13" t="s">
        <v>137</v>
      </c>
      <c r="AD126" s="13" t="s">
        <v>138</v>
      </c>
      <c r="AE126" s="13" t="s">
        <v>138</v>
      </c>
      <c r="AF126" s="13">
        <v>0</v>
      </c>
      <c r="AG126" s="13">
        <v>572</v>
      </c>
      <c r="AH126" s="13">
        <v>572</v>
      </c>
      <c r="AI126" s="13" t="s">
        <v>506</v>
      </c>
      <c r="AJ126" s="13" t="s">
        <v>506</v>
      </c>
      <c r="AK126" s="13" t="s">
        <v>140</v>
      </c>
      <c r="AL126" s="13">
        <v>0</v>
      </c>
      <c r="AM126" s="13">
        <v>1.12</v>
      </c>
      <c r="AN126" s="13">
        <v>1.12</v>
      </c>
      <c r="AO126" s="13">
        <v>10.04</v>
      </c>
      <c r="AP126" s="13">
        <v>38</v>
      </c>
      <c r="AQ126" s="13">
        <v>74</v>
      </c>
      <c r="AR126" s="13">
        <v>338.48</v>
      </c>
      <c r="AS126" s="13">
        <v>25</v>
      </c>
      <c r="AT126" s="13">
        <v>0</v>
      </c>
      <c r="AU126" s="13">
        <v>47</v>
      </c>
      <c r="AV126" s="13">
        <v>10</v>
      </c>
      <c r="AW126" s="13">
        <v>30</v>
      </c>
      <c r="AX126" s="13">
        <v>0</v>
      </c>
      <c r="AY126" s="13">
        <v>74</v>
      </c>
      <c r="AZ126" s="13">
        <v>218</v>
      </c>
      <c r="BA126" s="13">
        <v>25</v>
      </c>
      <c r="BB126" s="13" t="s"/>
      <c r="BC126" s="13" t="s"/>
      <c r="BD126" s="1">
        <f>=IF(IF(BC126&lt;&gt;"",IF(BB126&lt;&gt;"",CEILING(((BB126-BC126)/BB126)*100,1),IF(AND(O126&lt;&gt;"",O126&gt;0),CEILING((((O126-BC126)/O126)*100),1),"")),"")&gt;=0,IF(BC126&lt;&gt;"",IF(BB126&lt;&gt;"",CEILING(((BB126-BC126)/BB126)*100,1),IF(AND(O126&lt;&gt;"",O126&gt;0),CEILING((((O126-BC126)/O126)*100),1),"")),""), "Ошибка: цена до скидки должна быть больше текущей.")</f>
      </c>
      <c r="BE126" s="13" t="s"/>
      <c r="BF126" s="13" t="s"/>
      <c r="BG126" s="13" t="s"/>
      <c r="BH126" s="13" t="s"/>
      <c r="BI126" s="13" t="s"/>
      <c r="BJ126" s="13" t="s"/>
      <c r="BK126" s="13" t="s"/>
    </row>
    <row r="127" ht="20" customHeight="true">
      <c r="A127" s="13" t="s">
        <v>511</v>
      </c>
      <c r="B127" s="13">
        <v>3436163720</v>
      </c>
      <c r="C127" s="13" t="s">
        <v>512</v>
      </c>
      <c r="D127" s="13" t="s">
        <v>129</v>
      </c>
      <c r="E127" s="13" t="s">
        <v>130</v>
      </c>
      <c r="F127" s="13">
        <v>0</v>
      </c>
      <c r="G127" s="13">
        <v>1</v>
      </c>
      <c r="H127" s="13">
        <v>17.544</v>
      </c>
      <c r="I127" s="13">
        <v>3.5</v>
      </c>
      <c r="J127" s="13" t="s">
        <v>513</v>
      </c>
      <c r="K127" s="13">
        <v>0</v>
      </c>
      <c r="L127" s="13">
        <v>287</v>
      </c>
      <c r="M127" s="13">
        <v>0</v>
      </c>
      <c r="N127" s="13">
        <v>0</v>
      </c>
      <c r="O127" s="13">
        <v>9900</v>
      </c>
      <c r="P127" s="13">
        <v>5900</v>
      </c>
      <c r="Q127" s="13">
        <v>41</v>
      </c>
      <c r="R127" s="13">
        <v>4000</v>
      </c>
      <c r="S127" s="13">
        <v>5900</v>
      </c>
      <c r="T127" s="13">
        <v>71</v>
      </c>
      <c r="U127" s="13">
        <v>7001</v>
      </c>
      <c r="V127" s="13" t="s">
        <v>132</v>
      </c>
      <c r="W127" s="13">
        <v>2950</v>
      </c>
      <c r="X127" s="13" t="s">
        <v>138</v>
      </c>
      <c r="Y127" s="13" t="s">
        <v>147</v>
      </c>
      <c r="Z127" s="13" t="s"/>
      <c r="AA127" s="13" t="s">
        <v>514</v>
      </c>
      <c r="AB127" s="13" t="s">
        <v>515</v>
      </c>
      <c r="AC127" s="13" t="s">
        <v>516</v>
      </c>
      <c r="AD127" s="13" t="s">
        <v>138</v>
      </c>
      <c r="AE127" s="13" t="s">
        <v>138</v>
      </c>
      <c r="AF127" s="13">
        <v>0</v>
      </c>
      <c r="AG127" s="13">
        <v>3605</v>
      </c>
      <c r="AH127" s="13">
        <v>3605</v>
      </c>
      <c r="AI127" s="13" t="s">
        <v>517</v>
      </c>
      <c r="AJ127" s="13" t="s">
        <v>517</v>
      </c>
      <c r="AK127" s="13" t="s">
        <v>327</v>
      </c>
      <c r="AL127" s="13">
        <v>0</v>
      </c>
      <c r="AM127" s="13">
        <v>0.74</v>
      </c>
      <c r="AN127" s="13">
        <v>0.74</v>
      </c>
      <c r="AO127" s="13">
        <v>59</v>
      </c>
      <c r="AP127" s="13">
        <v>47</v>
      </c>
      <c r="AQ127" s="13">
        <v>131</v>
      </c>
      <c r="AR127" s="13">
        <v>1329</v>
      </c>
      <c r="AS127" s="13">
        <v>25</v>
      </c>
      <c r="AT127" s="13">
        <v>0</v>
      </c>
      <c r="AU127" s="13">
        <v>53</v>
      </c>
      <c r="AV127" s="13">
        <v>10</v>
      </c>
      <c r="AW127" s="13">
        <v>30</v>
      </c>
      <c r="AX127" s="13">
        <v>0</v>
      </c>
      <c r="AY127" s="13">
        <v>131</v>
      </c>
      <c r="AZ127" s="13">
        <v>621</v>
      </c>
      <c r="BA127" s="13">
        <v>25</v>
      </c>
      <c r="BB127" s="13" t="s"/>
      <c r="BC127" s="13" t="s"/>
      <c r="BD127" s="1">
        <f>=IF(IF(BC127&lt;&gt;"",IF(BB127&lt;&gt;"",CEILING(((BB127-BC127)/BB127)*100,1),IF(AND(O127&lt;&gt;"",O127&gt;0),CEILING((((O127-BC127)/O127)*100),1),"")),"")&gt;=0,IF(BC127&lt;&gt;"",IF(BB127&lt;&gt;"",CEILING(((BB127-BC127)/BB127)*100,1),IF(AND(O127&lt;&gt;"",O127&gt;0),CEILING((((O127-BC127)/O127)*100),1),"")),""), "Ошибка: цена до скидки должна быть больше текущей.")</f>
      </c>
      <c r="BE127" s="13" t="s"/>
      <c r="BF127" s="13" t="s"/>
      <c r="BG127" s="13" t="s"/>
      <c r="BH127" s="13" t="s"/>
      <c r="BI127" s="13" t="s"/>
      <c r="BJ127" s="13" t="s"/>
      <c r="BK127" s="13" t="s"/>
    </row>
    <row r="128" ht="20" customHeight="true">
      <c r="A128" s="13" t="s">
        <v>518</v>
      </c>
      <c r="B128" s="13">
        <v>3436164191</v>
      </c>
      <c r="C128" s="13" t="s">
        <v>512</v>
      </c>
      <c r="D128" s="13" t="s">
        <v>129</v>
      </c>
      <c r="E128" s="13" t="s">
        <v>130</v>
      </c>
      <c r="F128" s="13">
        <v>1</v>
      </c>
      <c r="G128" s="13">
        <v>0</v>
      </c>
      <c r="H128" s="13">
        <v>17.544</v>
      </c>
      <c r="I128" s="13">
        <v>3.5</v>
      </c>
      <c r="J128" s="13" t="s">
        <v>519</v>
      </c>
      <c r="K128" s="13">
        <v>0</v>
      </c>
      <c r="L128" s="13">
        <v>115</v>
      </c>
      <c r="M128" s="13">
        <v>0</v>
      </c>
      <c r="N128" s="13">
        <v>0</v>
      </c>
      <c r="O128" s="13">
        <v>9900</v>
      </c>
      <c r="P128" s="13">
        <v>5900</v>
      </c>
      <c r="Q128" s="13">
        <v>41</v>
      </c>
      <c r="R128" s="13">
        <v>4000</v>
      </c>
      <c r="S128" s="13">
        <v>5900</v>
      </c>
      <c r="T128" s="13">
        <v>68</v>
      </c>
      <c r="U128" s="13">
        <v>6731</v>
      </c>
      <c r="V128" s="13" t="s">
        <v>132</v>
      </c>
      <c r="W128" s="13">
        <v>2950</v>
      </c>
      <c r="X128" s="13" t="s">
        <v>138</v>
      </c>
      <c r="Y128" s="13" t="s">
        <v>147</v>
      </c>
      <c r="Z128" s="13" t="s"/>
      <c r="AA128" s="13" t="s">
        <v>514</v>
      </c>
      <c r="AB128" s="13" t="s">
        <v>515</v>
      </c>
      <c r="AC128" s="13" t="s">
        <v>516</v>
      </c>
      <c r="AD128" s="13" t="s">
        <v>138</v>
      </c>
      <c r="AE128" s="13" t="s">
        <v>138</v>
      </c>
      <c r="AF128" s="13">
        <v>0</v>
      </c>
      <c r="AG128" s="13">
        <v>3605</v>
      </c>
      <c r="AH128" s="13">
        <v>3605</v>
      </c>
      <c r="AI128" s="13" t="s">
        <v>520</v>
      </c>
      <c r="AJ128" s="13" t="s">
        <v>520</v>
      </c>
      <c r="AK128" s="13" t="s">
        <v>327</v>
      </c>
      <c r="AL128" s="13">
        <v>0</v>
      </c>
      <c r="AM128" s="13">
        <v>0.8</v>
      </c>
      <c r="AN128" s="13">
        <v>0.8</v>
      </c>
      <c r="AO128" s="13">
        <v>59</v>
      </c>
      <c r="AP128" s="13">
        <v>47</v>
      </c>
      <c r="AQ128" s="13">
        <v>131</v>
      </c>
      <c r="AR128" s="13">
        <v>1329</v>
      </c>
      <c r="AS128" s="13">
        <v>25</v>
      </c>
      <c r="AT128" s="13">
        <v>0</v>
      </c>
      <c r="AU128" s="13">
        <v>53</v>
      </c>
      <c r="AV128" s="13">
        <v>10</v>
      </c>
      <c r="AW128" s="13">
        <v>30</v>
      </c>
      <c r="AX128" s="13">
        <v>0</v>
      </c>
      <c r="AY128" s="13">
        <v>131</v>
      </c>
      <c r="AZ128" s="13">
        <v>621</v>
      </c>
      <c r="BA128" s="13">
        <v>25</v>
      </c>
      <c r="BB128" s="13" t="s"/>
      <c r="BC128" s="13" t="s"/>
      <c r="BD128" s="1">
        <f>=IF(IF(BC128&lt;&gt;"",IF(BB128&lt;&gt;"",CEILING(((BB128-BC128)/BB128)*100,1),IF(AND(O128&lt;&gt;"",O128&gt;0),CEILING((((O128-BC128)/O128)*100),1),"")),"")&gt;=0,IF(BC128&lt;&gt;"",IF(BB128&lt;&gt;"",CEILING(((BB128-BC128)/BB128)*100,1),IF(AND(O128&lt;&gt;"",O128&gt;0),CEILING((((O128-BC128)/O128)*100),1),"")),""), "Ошибка: цена до скидки должна быть больше текущей.")</f>
      </c>
      <c r="BE128" s="13" t="s"/>
      <c r="BF128" s="13" t="s"/>
      <c r="BG128" s="13" t="s"/>
      <c r="BH128" s="13" t="s"/>
      <c r="BI128" s="13" t="s"/>
      <c r="BJ128" s="13" t="s"/>
      <c r="BK128" s="13" t="s"/>
    </row>
    <row r="129" ht="20" customHeight="true">
      <c r="A129" s="13" t="s">
        <v>521</v>
      </c>
      <c r="B129" s="13">
        <v>3436163601</v>
      </c>
      <c r="C129" s="13" t="s">
        <v>512</v>
      </c>
      <c r="D129" s="13" t="s">
        <v>431</v>
      </c>
      <c r="E129" s="13" t="s">
        <v>130</v>
      </c>
      <c r="F129" s="13">
        <v>0</v>
      </c>
      <c r="G129" s="13">
        <v>0</v>
      </c>
      <c r="H129" s="13">
        <v>17.544</v>
      </c>
      <c r="I129" s="13">
        <v>3.5</v>
      </c>
      <c r="J129" s="13" t="s">
        <v>522</v>
      </c>
      <c r="K129" s="13">
        <v>0</v>
      </c>
      <c r="L129" s="13">
        <v>0</v>
      </c>
      <c r="M129" s="13">
        <v>0</v>
      </c>
      <c r="N129" s="13">
        <v>0</v>
      </c>
      <c r="O129" s="13">
        <v>9900</v>
      </c>
      <c r="P129" s="13">
        <v>5900</v>
      </c>
      <c r="Q129" s="13">
        <v>41</v>
      </c>
      <c r="R129" s="13">
        <v>4000</v>
      </c>
      <c r="S129" s="13">
        <v>5900</v>
      </c>
      <c r="T129" s="13">
        <v>41</v>
      </c>
      <c r="U129" s="13">
        <v>4000</v>
      </c>
      <c r="V129" s="13" t="s">
        <v>132</v>
      </c>
      <c r="W129" s="13">
        <v>2950</v>
      </c>
      <c r="X129" s="13" t="s">
        <v>138</v>
      </c>
      <c r="Y129" s="13" t="s">
        <v>147</v>
      </c>
      <c r="Z129" s="13" t="s"/>
      <c r="AA129" s="13" t="s">
        <v>514</v>
      </c>
      <c r="AB129" s="13" t="s">
        <v>515</v>
      </c>
      <c r="AC129" s="13" t="s">
        <v>516</v>
      </c>
      <c r="AD129" s="13" t="s">
        <v>138</v>
      </c>
      <c r="AE129" s="13" t="s">
        <v>138</v>
      </c>
      <c r="AF129" s="13">
        <v>0</v>
      </c>
      <c r="AG129" s="13">
        <v>3605</v>
      </c>
      <c r="AH129" s="13">
        <v>3605</v>
      </c>
      <c r="AI129" s="13" t="s">
        <v>517</v>
      </c>
      <c r="AJ129" s="13" t="s">
        <v>517</v>
      </c>
      <c r="AK129" s="13" t="s">
        <v>140</v>
      </c>
      <c r="AL129" s="13">
        <v>0</v>
      </c>
      <c r="AM129" s="13">
        <v>1.39</v>
      </c>
      <c r="AN129" s="13">
        <v>1.39</v>
      </c>
      <c r="AO129" s="13">
        <v>59</v>
      </c>
      <c r="AP129" s="13">
        <v>47</v>
      </c>
      <c r="AQ129" s="13">
        <v>131</v>
      </c>
      <c r="AR129" s="13">
        <v>1329</v>
      </c>
      <c r="AS129" s="13">
        <v>25</v>
      </c>
      <c r="AT129" s="13">
        <v>0</v>
      </c>
      <c r="AU129" s="13">
        <v>53</v>
      </c>
      <c r="AV129" s="13">
        <v>10</v>
      </c>
      <c r="AW129" s="13">
        <v>30</v>
      </c>
      <c r="AX129" s="13">
        <v>0</v>
      </c>
      <c r="AY129" s="13">
        <v>131</v>
      </c>
      <c r="AZ129" s="13">
        <v>621</v>
      </c>
      <c r="BA129" s="13">
        <v>25</v>
      </c>
      <c r="BB129" s="13" t="s"/>
      <c r="BC129" s="13" t="s"/>
      <c r="BD129" s="1">
        <f>=IF(IF(BC129&lt;&gt;"",IF(BB129&lt;&gt;"",CEILING(((BB129-BC129)/BB129)*100,1),IF(AND(O129&lt;&gt;"",O129&gt;0),CEILING((((O129-BC129)/O129)*100),1),"")),"")&gt;=0,IF(BC129&lt;&gt;"",IF(BB129&lt;&gt;"",CEILING(((BB129-BC129)/BB129)*100,1),IF(AND(O129&lt;&gt;"",O129&gt;0),CEILING((((O129-BC129)/O129)*100),1),"")),""), "Ошибка: цена до скидки должна быть больше текущей.")</f>
      </c>
      <c r="BE129" s="13" t="s"/>
      <c r="BF129" s="13" t="s"/>
      <c r="BG129" s="13" t="s"/>
      <c r="BH129" s="13" t="s"/>
      <c r="BI129" s="13" t="s"/>
      <c r="BJ129" s="13" t="s"/>
      <c r="BK129" s="13" t="s"/>
    </row>
    <row r="130" ht="20" customHeight="true">
      <c r="A130" s="13" t="s">
        <v>523</v>
      </c>
      <c r="B130" s="13">
        <v>3436097257</v>
      </c>
      <c r="C130" s="13" t="s">
        <v>512</v>
      </c>
      <c r="D130" s="13" t="s">
        <v>129</v>
      </c>
      <c r="E130" s="13" t="s">
        <v>130</v>
      </c>
      <c r="F130" s="13">
        <v>1</v>
      </c>
      <c r="G130" s="13">
        <v>1</v>
      </c>
      <c r="H130" s="13">
        <v>17.544</v>
      </c>
      <c r="I130" s="13">
        <v>3.5</v>
      </c>
      <c r="J130" s="13" t="s">
        <v>524</v>
      </c>
      <c r="K130" s="13">
        <v>0</v>
      </c>
      <c r="L130" s="13">
        <v>226</v>
      </c>
      <c r="M130" s="13">
        <v>0</v>
      </c>
      <c r="N130" s="13">
        <v>0</v>
      </c>
      <c r="O130" s="13">
        <v>9900</v>
      </c>
      <c r="P130" s="13">
        <v>5900</v>
      </c>
      <c r="Q130" s="13">
        <v>41</v>
      </c>
      <c r="R130" s="13">
        <v>4000</v>
      </c>
      <c r="S130" s="13">
        <v>5900</v>
      </c>
      <c r="T130" s="13">
        <v>71</v>
      </c>
      <c r="U130" s="13">
        <v>7001</v>
      </c>
      <c r="V130" s="13" t="s">
        <v>132</v>
      </c>
      <c r="W130" s="13">
        <v>2950</v>
      </c>
      <c r="X130" s="13" t="s">
        <v>138</v>
      </c>
      <c r="Y130" s="13" t="s">
        <v>147</v>
      </c>
      <c r="Z130" s="13" t="s"/>
      <c r="AA130" s="13" t="s">
        <v>514</v>
      </c>
      <c r="AB130" s="13" t="s">
        <v>515</v>
      </c>
      <c r="AC130" s="13" t="s">
        <v>516</v>
      </c>
      <c r="AD130" s="13" t="s">
        <v>138</v>
      </c>
      <c r="AE130" s="13" t="s">
        <v>138</v>
      </c>
      <c r="AF130" s="13">
        <v>0</v>
      </c>
      <c r="AG130" s="13">
        <v>3605</v>
      </c>
      <c r="AH130" s="13">
        <v>3605</v>
      </c>
      <c r="AI130" s="13" t="s">
        <v>520</v>
      </c>
      <c r="AJ130" s="13" t="s">
        <v>520</v>
      </c>
      <c r="AK130" s="13" t="s">
        <v>327</v>
      </c>
      <c r="AL130" s="13">
        <v>0</v>
      </c>
      <c r="AM130" s="13">
        <v>0.74</v>
      </c>
      <c r="AN130" s="13">
        <v>0.74</v>
      </c>
      <c r="AO130" s="13">
        <v>59</v>
      </c>
      <c r="AP130" s="13">
        <v>47</v>
      </c>
      <c r="AQ130" s="13">
        <v>131</v>
      </c>
      <c r="AR130" s="13">
        <v>1329</v>
      </c>
      <c r="AS130" s="13">
        <v>25</v>
      </c>
      <c r="AT130" s="13">
        <v>0</v>
      </c>
      <c r="AU130" s="13">
        <v>53</v>
      </c>
      <c r="AV130" s="13">
        <v>10</v>
      </c>
      <c r="AW130" s="13">
        <v>30</v>
      </c>
      <c r="AX130" s="13">
        <v>0</v>
      </c>
      <c r="AY130" s="13">
        <v>131</v>
      </c>
      <c r="AZ130" s="13">
        <v>621</v>
      </c>
      <c r="BA130" s="13">
        <v>25</v>
      </c>
      <c r="BB130" s="13" t="s"/>
      <c r="BC130" s="13" t="s"/>
      <c r="BD130" s="1">
        <f>=IF(IF(BC130&lt;&gt;"",IF(BB130&lt;&gt;"",CEILING(((BB130-BC130)/BB130)*100,1),IF(AND(O130&lt;&gt;"",O130&gt;0),CEILING((((O130-BC130)/O130)*100),1),"")),"")&gt;=0,IF(BC130&lt;&gt;"",IF(BB130&lt;&gt;"",CEILING(((BB130-BC130)/BB130)*100,1),IF(AND(O130&lt;&gt;"",O130&gt;0),CEILING((((O130-BC130)/O130)*100),1),"")),""), "Ошибка: цена до скидки должна быть больше текущей.")</f>
      </c>
      <c r="BE130" s="13" t="s"/>
      <c r="BF130" s="13" t="s"/>
      <c r="BG130" s="13" t="s"/>
      <c r="BH130" s="13" t="s"/>
      <c r="BI130" s="13" t="s"/>
      <c r="BJ130" s="13" t="s"/>
      <c r="BK130" s="13" t="s"/>
    </row>
    <row r="131" ht="20" customHeight="true">
      <c r="A131" s="13" t="s">
        <v>525</v>
      </c>
      <c r="B131" s="13">
        <v>3436164105</v>
      </c>
      <c r="C131" s="13" t="s">
        <v>512</v>
      </c>
      <c r="D131" s="13" t="s">
        <v>129</v>
      </c>
      <c r="E131" s="13" t="s">
        <v>130</v>
      </c>
      <c r="F131" s="13">
        <v>1</v>
      </c>
      <c r="G131" s="13">
        <v>1</v>
      </c>
      <c r="H131" s="13">
        <v>17.544</v>
      </c>
      <c r="I131" s="13">
        <v>3.5</v>
      </c>
      <c r="J131" s="13" t="s">
        <v>526</v>
      </c>
      <c r="K131" s="13">
        <v>0</v>
      </c>
      <c r="L131" s="13">
        <v>120</v>
      </c>
      <c r="M131" s="13">
        <v>0</v>
      </c>
      <c r="N131" s="13">
        <v>0</v>
      </c>
      <c r="O131" s="13">
        <v>9900</v>
      </c>
      <c r="P131" s="13">
        <v>5900</v>
      </c>
      <c r="Q131" s="13">
        <v>41</v>
      </c>
      <c r="R131" s="13">
        <v>4000</v>
      </c>
      <c r="S131" s="13">
        <v>5900</v>
      </c>
      <c r="T131" s="13">
        <v>71</v>
      </c>
      <c r="U131" s="13">
        <v>7001</v>
      </c>
      <c r="V131" s="13" t="s">
        <v>132</v>
      </c>
      <c r="W131" s="13">
        <v>2950</v>
      </c>
      <c r="X131" s="13" t="s">
        <v>138</v>
      </c>
      <c r="Y131" s="13" t="s">
        <v>147</v>
      </c>
      <c r="Z131" s="13" t="s"/>
      <c r="AA131" s="13" t="s">
        <v>514</v>
      </c>
      <c r="AB131" s="13" t="s">
        <v>515</v>
      </c>
      <c r="AC131" s="13" t="s">
        <v>516</v>
      </c>
      <c r="AD131" s="13" t="s">
        <v>138</v>
      </c>
      <c r="AE131" s="13" t="s">
        <v>138</v>
      </c>
      <c r="AF131" s="13">
        <v>0</v>
      </c>
      <c r="AG131" s="13">
        <v>3605</v>
      </c>
      <c r="AH131" s="13">
        <v>3605</v>
      </c>
      <c r="AI131" s="13" t="s">
        <v>520</v>
      </c>
      <c r="AJ131" s="13" t="s">
        <v>520</v>
      </c>
      <c r="AK131" s="13" t="s">
        <v>327</v>
      </c>
      <c r="AL131" s="13">
        <v>0</v>
      </c>
      <c r="AM131" s="13">
        <v>0.74</v>
      </c>
      <c r="AN131" s="13">
        <v>0.74</v>
      </c>
      <c r="AO131" s="13">
        <v>59</v>
      </c>
      <c r="AP131" s="13">
        <v>47</v>
      </c>
      <c r="AQ131" s="13">
        <v>131</v>
      </c>
      <c r="AR131" s="13">
        <v>1329</v>
      </c>
      <c r="AS131" s="13">
        <v>25</v>
      </c>
      <c r="AT131" s="13">
        <v>0</v>
      </c>
      <c r="AU131" s="13">
        <v>53</v>
      </c>
      <c r="AV131" s="13">
        <v>10</v>
      </c>
      <c r="AW131" s="13">
        <v>30</v>
      </c>
      <c r="AX131" s="13">
        <v>0</v>
      </c>
      <c r="AY131" s="13">
        <v>131</v>
      </c>
      <c r="AZ131" s="13">
        <v>621</v>
      </c>
      <c r="BA131" s="13">
        <v>25</v>
      </c>
      <c r="BB131" s="13" t="s"/>
      <c r="BC131" s="13" t="s"/>
      <c r="BD131" s="1">
        <f>=IF(IF(BC131&lt;&gt;"",IF(BB131&lt;&gt;"",CEILING(((BB131-BC131)/BB131)*100,1),IF(AND(O131&lt;&gt;"",O131&gt;0),CEILING((((O131-BC131)/O131)*100),1),"")),"")&gt;=0,IF(BC131&lt;&gt;"",IF(BB131&lt;&gt;"",CEILING(((BB131-BC131)/BB131)*100,1),IF(AND(O131&lt;&gt;"",O131&gt;0),CEILING((((O131-BC131)/O131)*100),1),"")),""), "Ошибка: цена до скидки должна быть больше текущей.")</f>
      </c>
      <c r="BE131" s="13" t="s"/>
      <c r="BF131" s="13" t="s"/>
      <c r="BG131" s="13" t="s"/>
      <c r="BH131" s="13" t="s"/>
      <c r="BI131" s="13" t="s"/>
      <c r="BJ131" s="13" t="s"/>
      <c r="BK131" s="13" t="s"/>
    </row>
    <row r="132" ht="20" customHeight="true">
      <c r="A132" s="13" t="s">
        <v>527</v>
      </c>
      <c r="B132" s="13">
        <v>3436164143</v>
      </c>
      <c r="C132" s="13" t="s">
        <v>512</v>
      </c>
      <c r="D132" s="13" t="s">
        <v>129</v>
      </c>
      <c r="E132" s="13" t="s">
        <v>130</v>
      </c>
      <c r="F132" s="13">
        <v>1</v>
      </c>
      <c r="G132" s="13">
        <v>1</v>
      </c>
      <c r="H132" s="13">
        <v>17.544</v>
      </c>
      <c r="I132" s="13">
        <v>3.5</v>
      </c>
      <c r="J132" s="13" t="s">
        <v>528</v>
      </c>
      <c r="K132" s="13">
        <v>0</v>
      </c>
      <c r="L132" s="13">
        <v>152</v>
      </c>
      <c r="M132" s="13">
        <v>0</v>
      </c>
      <c r="N132" s="13">
        <v>0</v>
      </c>
      <c r="O132" s="13">
        <v>9900</v>
      </c>
      <c r="P132" s="13">
        <v>5900</v>
      </c>
      <c r="Q132" s="13">
        <v>41</v>
      </c>
      <c r="R132" s="13">
        <v>4000</v>
      </c>
      <c r="S132" s="13">
        <v>5900</v>
      </c>
      <c r="T132" s="13">
        <v>71</v>
      </c>
      <c r="U132" s="13">
        <v>7001</v>
      </c>
      <c r="V132" s="13" t="s">
        <v>132</v>
      </c>
      <c r="W132" s="13">
        <v>2950</v>
      </c>
      <c r="X132" s="13" t="s">
        <v>138</v>
      </c>
      <c r="Y132" s="13" t="s">
        <v>147</v>
      </c>
      <c r="Z132" s="13" t="s"/>
      <c r="AA132" s="13" t="s">
        <v>514</v>
      </c>
      <c r="AB132" s="13" t="s">
        <v>515</v>
      </c>
      <c r="AC132" s="13" t="s">
        <v>516</v>
      </c>
      <c r="AD132" s="13" t="s">
        <v>138</v>
      </c>
      <c r="AE132" s="13" t="s">
        <v>138</v>
      </c>
      <c r="AF132" s="13">
        <v>0</v>
      </c>
      <c r="AG132" s="13">
        <v>3605</v>
      </c>
      <c r="AH132" s="13">
        <v>3605</v>
      </c>
      <c r="AI132" s="13" t="s">
        <v>517</v>
      </c>
      <c r="AJ132" s="13" t="s">
        <v>517</v>
      </c>
      <c r="AK132" s="13" t="s">
        <v>327</v>
      </c>
      <c r="AL132" s="13">
        <v>0</v>
      </c>
      <c r="AM132" s="13">
        <v>0.74</v>
      </c>
      <c r="AN132" s="13">
        <v>0.74</v>
      </c>
      <c r="AO132" s="13">
        <v>59</v>
      </c>
      <c r="AP132" s="13">
        <v>47</v>
      </c>
      <c r="AQ132" s="13">
        <v>131</v>
      </c>
      <c r="AR132" s="13">
        <v>1329</v>
      </c>
      <c r="AS132" s="13">
        <v>25</v>
      </c>
      <c r="AT132" s="13">
        <v>0</v>
      </c>
      <c r="AU132" s="13">
        <v>53</v>
      </c>
      <c r="AV132" s="13">
        <v>10</v>
      </c>
      <c r="AW132" s="13">
        <v>30</v>
      </c>
      <c r="AX132" s="13">
        <v>0</v>
      </c>
      <c r="AY132" s="13">
        <v>131</v>
      </c>
      <c r="AZ132" s="13">
        <v>621</v>
      </c>
      <c r="BA132" s="13">
        <v>25</v>
      </c>
      <c r="BB132" s="13" t="s"/>
      <c r="BC132" s="13" t="s"/>
      <c r="BD132" s="1">
        <f>=IF(IF(BC132&lt;&gt;"",IF(BB132&lt;&gt;"",CEILING(((BB132-BC132)/BB132)*100,1),IF(AND(O132&lt;&gt;"",O132&gt;0),CEILING((((O132-BC132)/O132)*100),1),"")),"")&gt;=0,IF(BC132&lt;&gt;"",IF(BB132&lt;&gt;"",CEILING(((BB132-BC132)/BB132)*100,1),IF(AND(O132&lt;&gt;"",O132&gt;0),CEILING((((O132-BC132)/O132)*100),1),"")),""), "Ошибка: цена до скидки должна быть больше текущей.")</f>
      </c>
      <c r="BE132" s="13" t="s"/>
      <c r="BF132" s="13" t="s"/>
      <c r="BG132" s="13" t="s"/>
      <c r="BH132" s="13" t="s"/>
      <c r="BI132" s="13" t="s"/>
      <c r="BJ132" s="13" t="s"/>
      <c r="BK132" s="13" t="s"/>
    </row>
    <row r="133" ht="20" customHeight="true">
      <c r="A133" s="13" t="s">
        <v>529</v>
      </c>
      <c r="B133" s="13">
        <v>3436164375</v>
      </c>
      <c r="C133" s="13" t="s">
        <v>512</v>
      </c>
      <c r="D133" s="13" t="s">
        <v>129</v>
      </c>
      <c r="E133" s="13" t="s">
        <v>130</v>
      </c>
      <c r="F133" s="13">
        <v>1</v>
      </c>
      <c r="G133" s="13">
        <v>0</v>
      </c>
      <c r="H133" s="13">
        <v>17.544</v>
      </c>
      <c r="I133" s="13">
        <v>3.5</v>
      </c>
      <c r="J133" s="13" t="s">
        <v>530</v>
      </c>
      <c r="K133" s="13">
        <v>0</v>
      </c>
      <c r="L133" s="13">
        <v>85</v>
      </c>
      <c r="M133" s="13">
        <v>0</v>
      </c>
      <c r="N133" s="13">
        <v>0</v>
      </c>
      <c r="O133" s="13">
        <v>9900</v>
      </c>
      <c r="P133" s="13">
        <v>5817</v>
      </c>
      <c r="Q133" s="13">
        <v>42</v>
      </c>
      <c r="R133" s="13">
        <v>4083</v>
      </c>
      <c r="S133" s="13">
        <v>5817</v>
      </c>
      <c r="T133" s="13">
        <v>69</v>
      </c>
      <c r="U133" s="13">
        <v>6776</v>
      </c>
      <c r="V133" s="13" t="s">
        <v>132</v>
      </c>
      <c r="W133" s="13">
        <v>2909</v>
      </c>
      <c r="X133" s="13" t="s">
        <v>138</v>
      </c>
      <c r="Y133" s="13" t="s">
        <v>147</v>
      </c>
      <c r="Z133" s="13" t="s"/>
      <c r="AA133" s="13" t="s">
        <v>514</v>
      </c>
      <c r="AB133" s="13" t="s"/>
      <c r="AC133" s="13" t="s">
        <v>516</v>
      </c>
      <c r="AD133" s="13" t="s">
        <v>138</v>
      </c>
      <c r="AE133" s="13" t="s">
        <v>138</v>
      </c>
      <c r="AF133" s="13">
        <v>0</v>
      </c>
      <c r="AG133" s="13">
        <v>2804</v>
      </c>
      <c r="AH133" s="13">
        <v>2804</v>
      </c>
      <c r="AI133" s="13" t="s">
        <v>531</v>
      </c>
      <c r="AJ133" s="13" t="s">
        <v>531</v>
      </c>
      <c r="AK133" s="13" t="s">
        <v>532</v>
      </c>
      <c r="AL133" s="13">
        <v>0</v>
      </c>
      <c r="AM133" s="13">
        <v>1.02</v>
      </c>
      <c r="AN133" s="13">
        <v>1.02</v>
      </c>
      <c r="AO133" s="13">
        <v>58.17</v>
      </c>
      <c r="AP133" s="13">
        <v>47</v>
      </c>
      <c r="AQ133" s="13">
        <v>131</v>
      </c>
      <c r="AR133" s="13">
        <v>1319.04</v>
      </c>
      <c r="AS133" s="13">
        <v>25</v>
      </c>
      <c r="AT133" s="13">
        <v>0</v>
      </c>
      <c r="AU133" s="13">
        <v>53</v>
      </c>
      <c r="AV133" s="13">
        <v>10</v>
      </c>
      <c r="AW133" s="13">
        <v>30</v>
      </c>
      <c r="AX133" s="13">
        <v>0</v>
      </c>
      <c r="AY133" s="13">
        <v>131</v>
      </c>
      <c r="AZ133" s="13">
        <v>621</v>
      </c>
      <c r="BA133" s="13">
        <v>25</v>
      </c>
      <c r="BB133" s="13" t="s"/>
      <c r="BC133" s="13" t="s"/>
      <c r="BD133" s="1">
        <f>=IF(IF(BC133&lt;&gt;"",IF(BB133&lt;&gt;"",CEILING(((BB133-BC133)/BB133)*100,1),IF(AND(O133&lt;&gt;"",O133&gt;0),CEILING((((O133-BC133)/O133)*100),1),"")),"")&gt;=0,IF(BC133&lt;&gt;"",IF(BB133&lt;&gt;"",CEILING(((BB133-BC133)/BB133)*100,1),IF(AND(O133&lt;&gt;"",O133&gt;0),CEILING((((O133-BC133)/O133)*100),1),"")),""), "Ошибка: цена до скидки должна быть больше текущей.")</f>
      </c>
      <c r="BE133" s="13" t="s"/>
      <c r="BF133" s="13" t="s"/>
      <c r="BG133" s="13" t="s"/>
      <c r="BH133" s="13" t="s"/>
      <c r="BI133" s="13" t="s"/>
      <c r="BJ133" s="13" t="s"/>
      <c r="BK133" s="13" t="s"/>
    </row>
    <row r="134" ht="20" customHeight="true">
      <c r="A134" s="13" t="s">
        <v>533</v>
      </c>
      <c r="B134" s="13">
        <v>3436096883</v>
      </c>
      <c r="C134" s="13" t="s">
        <v>512</v>
      </c>
      <c r="D134" s="13" t="s">
        <v>431</v>
      </c>
      <c r="E134" s="13" t="s">
        <v>130</v>
      </c>
      <c r="F134" s="13">
        <v>0</v>
      </c>
      <c r="G134" s="13">
        <v>0</v>
      </c>
      <c r="H134" s="13">
        <v>17.544</v>
      </c>
      <c r="I134" s="13">
        <v>3.5</v>
      </c>
      <c r="J134" s="13" t="s">
        <v>534</v>
      </c>
      <c r="K134" s="13">
        <v>0</v>
      </c>
      <c r="L134" s="13">
        <v>0</v>
      </c>
      <c r="M134" s="13">
        <v>0</v>
      </c>
      <c r="N134" s="13">
        <v>0</v>
      </c>
      <c r="O134" s="13">
        <v>9900</v>
      </c>
      <c r="P134" s="13">
        <v>5900</v>
      </c>
      <c r="Q134" s="13">
        <v>41</v>
      </c>
      <c r="R134" s="13">
        <v>4000</v>
      </c>
      <c r="S134" s="13">
        <v>5900</v>
      </c>
      <c r="T134" s="13">
        <v>41</v>
      </c>
      <c r="U134" s="13">
        <v>4000</v>
      </c>
      <c r="V134" s="13" t="s">
        <v>132</v>
      </c>
      <c r="W134" s="13">
        <v>2950</v>
      </c>
      <c r="X134" s="13" t="s">
        <v>138</v>
      </c>
      <c r="Y134" s="13" t="s">
        <v>147</v>
      </c>
      <c r="Z134" s="13" t="s"/>
      <c r="AA134" s="13" t="s">
        <v>514</v>
      </c>
      <c r="AB134" s="13" t="s">
        <v>515</v>
      </c>
      <c r="AC134" s="13" t="s">
        <v>516</v>
      </c>
      <c r="AD134" s="13" t="s">
        <v>138</v>
      </c>
      <c r="AE134" s="13" t="s">
        <v>138</v>
      </c>
      <c r="AF134" s="13">
        <v>0</v>
      </c>
      <c r="AG134" s="13">
        <v>3605</v>
      </c>
      <c r="AH134" s="13">
        <v>3605</v>
      </c>
      <c r="AI134" s="13" t="s">
        <v>517</v>
      </c>
      <c r="AJ134" s="13" t="s">
        <v>517</v>
      </c>
      <c r="AK134" s="13" t="s">
        <v>140</v>
      </c>
      <c r="AL134" s="13">
        <v>0</v>
      </c>
      <c r="AM134" s="13">
        <v>1.39</v>
      </c>
      <c r="AN134" s="13">
        <v>1.39</v>
      </c>
      <c r="AO134" s="13">
        <v>59</v>
      </c>
      <c r="AP134" s="13">
        <v>47</v>
      </c>
      <c r="AQ134" s="13">
        <v>131</v>
      </c>
      <c r="AR134" s="13">
        <v>1329</v>
      </c>
      <c r="AS134" s="13">
        <v>25</v>
      </c>
      <c r="AT134" s="13">
        <v>0</v>
      </c>
      <c r="AU134" s="13">
        <v>53</v>
      </c>
      <c r="AV134" s="13">
        <v>10</v>
      </c>
      <c r="AW134" s="13">
        <v>30</v>
      </c>
      <c r="AX134" s="13">
        <v>0</v>
      </c>
      <c r="AY134" s="13">
        <v>131</v>
      </c>
      <c r="AZ134" s="13">
        <v>621</v>
      </c>
      <c r="BA134" s="13">
        <v>25</v>
      </c>
      <c r="BB134" s="13" t="s"/>
      <c r="BC134" s="13" t="s"/>
      <c r="BD134" s="1">
        <f>=IF(IF(BC134&lt;&gt;"",IF(BB134&lt;&gt;"",CEILING(((BB134-BC134)/BB134)*100,1),IF(AND(O134&lt;&gt;"",O134&gt;0),CEILING((((O134-BC134)/O134)*100),1),"")),"")&gt;=0,IF(BC134&lt;&gt;"",IF(BB134&lt;&gt;"",CEILING(((BB134-BC134)/BB134)*100,1),IF(AND(O134&lt;&gt;"",O134&gt;0),CEILING((((O134-BC134)/O134)*100),1),"")),""), "Ошибка: цена до скидки должна быть больше текущей.")</f>
      </c>
      <c r="BE134" s="13" t="s"/>
      <c r="BF134" s="13" t="s"/>
      <c r="BG134" s="13" t="s"/>
      <c r="BH134" s="13" t="s"/>
      <c r="BI134" s="13" t="s"/>
      <c r="BJ134" s="13" t="s"/>
      <c r="BK134" s="13" t="s"/>
    </row>
    <row r="135" ht="20" customHeight="true">
      <c r="A135" s="13" t="s">
        <v>535</v>
      </c>
      <c r="B135" s="13">
        <v>3436163760</v>
      </c>
      <c r="C135" s="13" t="s">
        <v>512</v>
      </c>
      <c r="D135" s="13" t="s">
        <v>431</v>
      </c>
      <c r="E135" s="13" t="s">
        <v>130</v>
      </c>
      <c r="F135" s="13">
        <v>0</v>
      </c>
      <c r="G135" s="13">
        <v>0</v>
      </c>
      <c r="H135" s="13">
        <v>17.544</v>
      </c>
      <c r="I135" s="13">
        <v>3.5</v>
      </c>
      <c r="J135" s="13" t="s">
        <v>536</v>
      </c>
      <c r="K135" s="13">
        <v>0</v>
      </c>
      <c r="L135" s="13">
        <v>2</v>
      </c>
      <c r="M135" s="13">
        <v>0</v>
      </c>
      <c r="N135" s="13">
        <v>0</v>
      </c>
      <c r="O135" s="13">
        <v>9900</v>
      </c>
      <c r="P135" s="13">
        <v>5900</v>
      </c>
      <c r="Q135" s="13">
        <v>41</v>
      </c>
      <c r="R135" s="13">
        <v>4000</v>
      </c>
      <c r="S135" s="13">
        <v>5900</v>
      </c>
      <c r="T135" s="13">
        <v>41</v>
      </c>
      <c r="U135" s="13">
        <v>4000</v>
      </c>
      <c r="V135" s="13" t="s">
        <v>132</v>
      </c>
      <c r="W135" s="13">
        <v>2950</v>
      </c>
      <c r="X135" s="13" t="s">
        <v>138</v>
      </c>
      <c r="Y135" s="13" t="s">
        <v>147</v>
      </c>
      <c r="Z135" s="13" t="s"/>
      <c r="AA135" s="13" t="s">
        <v>514</v>
      </c>
      <c r="AB135" s="13" t="s">
        <v>515</v>
      </c>
      <c r="AC135" s="13" t="s">
        <v>516</v>
      </c>
      <c r="AD135" s="13" t="s">
        <v>138</v>
      </c>
      <c r="AE135" s="13" t="s">
        <v>138</v>
      </c>
      <c r="AF135" s="13">
        <v>0</v>
      </c>
      <c r="AG135" s="13">
        <v>2804</v>
      </c>
      <c r="AH135" s="13">
        <v>2804</v>
      </c>
      <c r="AI135" s="13" t="s">
        <v>531</v>
      </c>
      <c r="AJ135" s="13" t="s">
        <v>531</v>
      </c>
      <c r="AK135" s="13" t="s">
        <v>140</v>
      </c>
      <c r="AL135" s="13">
        <v>0</v>
      </c>
      <c r="AM135" s="13">
        <v>1.52</v>
      </c>
      <c r="AN135" s="13">
        <v>1.52</v>
      </c>
      <c r="AO135" s="13">
        <v>59</v>
      </c>
      <c r="AP135" s="13">
        <v>47</v>
      </c>
      <c r="AQ135" s="13">
        <v>131</v>
      </c>
      <c r="AR135" s="13">
        <v>1329</v>
      </c>
      <c r="AS135" s="13">
        <v>25</v>
      </c>
      <c r="AT135" s="13">
        <v>0</v>
      </c>
      <c r="AU135" s="13">
        <v>53</v>
      </c>
      <c r="AV135" s="13">
        <v>10</v>
      </c>
      <c r="AW135" s="13">
        <v>30</v>
      </c>
      <c r="AX135" s="13">
        <v>0</v>
      </c>
      <c r="AY135" s="13">
        <v>131</v>
      </c>
      <c r="AZ135" s="13">
        <v>621</v>
      </c>
      <c r="BA135" s="13">
        <v>25</v>
      </c>
      <c r="BB135" s="13" t="s"/>
      <c r="BC135" s="13" t="s"/>
      <c r="BD135" s="1">
        <f>=IF(IF(BC135&lt;&gt;"",IF(BB135&lt;&gt;"",CEILING(((BB135-BC135)/BB135)*100,1),IF(AND(O135&lt;&gt;"",O135&gt;0),CEILING((((O135-BC135)/O135)*100),1),"")),"")&gt;=0,IF(BC135&lt;&gt;"",IF(BB135&lt;&gt;"",CEILING(((BB135-BC135)/BB135)*100,1),IF(AND(O135&lt;&gt;"",O135&gt;0),CEILING((((O135-BC135)/O135)*100),1),"")),""), "Ошибка: цена до скидки должна быть больше текущей.")</f>
      </c>
      <c r="BE135" s="13" t="s"/>
      <c r="BF135" s="13" t="s"/>
      <c r="BG135" s="13" t="s"/>
      <c r="BH135" s="13" t="s"/>
      <c r="BI135" s="13" t="s"/>
      <c r="BJ135" s="13" t="s"/>
      <c r="BK135" s="13" t="s"/>
    </row>
    <row r="136" ht="20" customHeight="true">
      <c r="A136" s="13" t="s">
        <v>537</v>
      </c>
      <c r="B136" s="13">
        <v>3437411176</v>
      </c>
      <c r="C136" s="13" t="s">
        <v>538</v>
      </c>
      <c r="D136" s="13" t="s">
        <v>129</v>
      </c>
      <c r="E136" s="13" t="s">
        <v>130</v>
      </c>
      <c r="F136" s="13">
        <v>0</v>
      </c>
      <c r="G136" s="13">
        <v>2</v>
      </c>
      <c r="H136" s="13">
        <v>1.539</v>
      </c>
      <c r="I136" s="13">
        <v>0.3</v>
      </c>
      <c r="J136" s="13" t="s">
        <v>539</v>
      </c>
      <c r="K136" s="13">
        <v>914</v>
      </c>
      <c r="L136" s="13">
        <v>234</v>
      </c>
      <c r="M136" s="13">
        <v>0.43</v>
      </c>
      <c r="N136" s="13">
        <v>1</v>
      </c>
      <c r="O136" s="13">
        <v>1243</v>
      </c>
      <c r="P136" s="13">
        <v>914</v>
      </c>
      <c r="Q136" s="13">
        <v>27</v>
      </c>
      <c r="R136" s="13">
        <v>329</v>
      </c>
      <c r="S136" s="13">
        <v>914</v>
      </c>
      <c r="T136" s="13">
        <v>58</v>
      </c>
      <c r="U136" s="13">
        <v>716</v>
      </c>
      <c r="V136" s="13" t="s">
        <v>132</v>
      </c>
      <c r="W136" s="13">
        <v>457</v>
      </c>
      <c r="X136" s="13" t="s">
        <v>133</v>
      </c>
      <c r="Y136" s="13" t="s">
        <v>134</v>
      </c>
      <c r="Z136" s="13" t="s"/>
      <c r="AA136" s="13" t="s">
        <v>540</v>
      </c>
      <c r="AB136" s="13" t="s">
        <v>541</v>
      </c>
      <c r="AC136" s="13" t="s">
        <v>542</v>
      </c>
      <c r="AD136" s="13" t="s">
        <v>138</v>
      </c>
      <c r="AE136" s="13" t="s">
        <v>138</v>
      </c>
      <c r="AF136" s="13">
        <v>0</v>
      </c>
      <c r="AG136" s="13">
        <v>447</v>
      </c>
      <c r="AH136" s="13">
        <v>447</v>
      </c>
      <c r="AI136" s="13" t="s">
        <v>543</v>
      </c>
      <c r="AJ136" s="13" t="s">
        <v>543</v>
      </c>
      <c r="AK136" s="13" t="s">
        <v>140</v>
      </c>
      <c r="AL136" s="13">
        <v>0</v>
      </c>
      <c r="AM136" s="13">
        <v>1.07</v>
      </c>
      <c r="AN136" s="13">
        <v>1.07</v>
      </c>
      <c r="AO136" s="13">
        <v>9.14</v>
      </c>
      <c r="AP136" s="13">
        <v>43</v>
      </c>
      <c r="AQ136" s="13">
        <v>74</v>
      </c>
      <c r="AR136" s="13">
        <v>327.68</v>
      </c>
      <c r="AS136" s="13">
        <v>25</v>
      </c>
      <c r="AT136" s="13">
        <v>0</v>
      </c>
      <c r="AU136" s="13">
        <v>49</v>
      </c>
      <c r="AV136" s="13">
        <v>10</v>
      </c>
      <c r="AW136" s="13">
        <v>30</v>
      </c>
      <c r="AX136" s="13">
        <v>0</v>
      </c>
      <c r="AY136" s="13">
        <v>74</v>
      </c>
      <c r="AZ136" s="13">
        <v>218</v>
      </c>
      <c r="BA136" s="13">
        <v>25</v>
      </c>
      <c r="BB136" s="13" t="s"/>
      <c r="BC136" s="13" t="s"/>
      <c r="BD136" s="1">
        <f>=IF(IF(BC136&lt;&gt;"",IF(BB136&lt;&gt;"",CEILING(((BB136-BC136)/BB136)*100,1),IF(AND(O136&lt;&gt;"",O136&gt;0),CEILING((((O136-BC136)/O136)*100),1),"")),"")&gt;=0,IF(BC136&lt;&gt;"",IF(BB136&lt;&gt;"",CEILING(((BB136-BC136)/BB136)*100,1),IF(AND(O136&lt;&gt;"",O136&gt;0),CEILING((((O136-BC136)/O136)*100),1),"")),""), "Ошибка: цена до скидки должна быть больше текущей.")</f>
      </c>
      <c r="BE136" s="13" t="s"/>
      <c r="BF136" s="13" t="s"/>
      <c r="BG136" s="13" t="s"/>
      <c r="BH136" s="13" t="s"/>
      <c r="BI136" s="13" t="s"/>
      <c r="BJ136" s="13" t="s"/>
      <c r="BK136" s="13" t="s"/>
    </row>
    <row r="137" ht="20" customHeight="true">
      <c r="A137" s="13" t="s">
        <v>544</v>
      </c>
      <c r="B137" s="13">
        <v>3437411563</v>
      </c>
      <c r="C137" s="13" t="s">
        <v>545</v>
      </c>
      <c r="D137" s="13" t="s">
        <v>129</v>
      </c>
      <c r="E137" s="13" t="s">
        <v>130</v>
      </c>
      <c r="F137" s="13">
        <v>0</v>
      </c>
      <c r="G137" s="13">
        <v>3</v>
      </c>
      <c r="H137" s="13">
        <v>4.446</v>
      </c>
      <c r="I137" s="13">
        <v>0.9</v>
      </c>
      <c r="J137" s="13" t="s">
        <v>546</v>
      </c>
      <c r="K137" s="13">
        <v>0</v>
      </c>
      <c r="L137" s="13">
        <v>124</v>
      </c>
      <c r="M137" s="13">
        <v>0</v>
      </c>
      <c r="N137" s="13">
        <v>0</v>
      </c>
      <c r="O137" s="13">
        <v>2400</v>
      </c>
      <c r="P137" s="13">
        <v>1140</v>
      </c>
      <c r="Q137" s="13">
        <v>53</v>
      </c>
      <c r="R137" s="13">
        <v>1260</v>
      </c>
      <c r="S137" s="13">
        <v>1140</v>
      </c>
      <c r="T137" s="13">
        <v>71</v>
      </c>
      <c r="U137" s="13">
        <v>1694</v>
      </c>
      <c r="V137" s="13" t="s">
        <v>132</v>
      </c>
      <c r="W137" s="13">
        <v>570</v>
      </c>
      <c r="X137" s="13" t="s">
        <v>138</v>
      </c>
      <c r="Y137" s="13" t="s">
        <v>147</v>
      </c>
      <c r="Z137" s="13" t="s"/>
      <c r="AA137" s="13" t="s">
        <v>540</v>
      </c>
      <c r="AB137" s="13" t="s">
        <v>173</v>
      </c>
      <c r="AC137" s="13" t="s"/>
      <c r="AD137" s="13" t="s">
        <v>138</v>
      </c>
      <c r="AE137" s="13" t="s">
        <v>138</v>
      </c>
      <c r="AF137" s="13">
        <v>0</v>
      </c>
      <c r="AG137" s="13">
        <v>662</v>
      </c>
      <c r="AH137" s="13">
        <v>662</v>
      </c>
      <c r="AI137" s="13" t="s">
        <v>547</v>
      </c>
      <c r="AJ137" s="13" t="s">
        <v>547</v>
      </c>
      <c r="AK137" s="13" t="s">
        <v>429</v>
      </c>
      <c r="AL137" s="13">
        <v>0</v>
      </c>
      <c r="AM137" s="13">
        <v>0.98</v>
      </c>
      <c r="AN137" s="13">
        <v>0.98</v>
      </c>
      <c r="AO137" s="13">
        <v>11.4</v>
      </c>
      <c r="AP137" s="13">
        <v>43</v>
      </c>
      <c r="AQ137" s="13">
        <v>89</v>
      </c>
      <c r="AR137" s="13">
        <v>513.8</v>
      </c>
      <c r="AS137" s="13">
        <v>25</v>
      </c>
      <c r="AT137" s="13">
        <v>0</v>
      </c>
      <c r="AU137" s="13">
        <v>49</v>
      </c>
      <c r="AV137" s="13">
        <v>10</v>
      </c>
      <c r="AW137" s="13">
        <v>30</v>
      </c>
      <c r="AX137" s="13">
        <v>0</v>
      </c>
      <c r="AY137" s="13">
        <v>89</v>
      </c>
      <c r="AZ137" s="13">
        <v>377</v>
      </c>
      <c r="BA137" s="13">
        <v>25</v>
      </c>
      <c r="BB137" s="13" t="s"/>
      <c r="BC137" s="13" t="s"/>
      <c r="BD137" s="1">
        <f>=IF(IF(BC137&lt;&gt;"",IF(BB137&lt;&gt;"",CEILING(((BB137-BC137)/BB137)*100,1),IF(AND(O137&lt;&gt;"",O137&gt;0),CEILING((((O137-BC137)/O137)*100),1),"")),"")&gt;=0,IF(BC137&lt;&gt;"",IF(BB137&lt;&gt;"",CEILING(((BB137-BC137)/BB137)*100,1),IF(AND(O137&lt;&gt;"",O137&gt;0),CEILING((((O137-BC137)/O137)*100),1),"")),""), "Ошибка: цена до скидки должна быть больше текущей.")</f>
      </c>
      <c r="BE137" s="13" t="s"/>
      <c r="BF137" s="13" t="s"/>
      <c r="BG137" s="13" t="s"/>
      <c r="BH137" s="13" t="s"/>
      <c r="BI137" s="13" t="s"/>
      <c r="BJ137" s="13" t="s"/>
      <c r="BK137" s="13" t="s"/>
    </row>
    <row r="138" ht="20" customHeight="true">
      <c r="A138" s="13" t="s">
        <v>548</v>
      </c>
      <c r="B138" s="13">
        <v>3437411530</v>
      </c>
      <c r="C138" s="13" t="s">
        <v>538</v>
      </c>
      <c r="D138" s="13" t="s">
        <v>129</v>
      </c>
      <c r="E138" s="13" t="s">
        <v>130</v>
      </c>
      <c r="F138" s="13">
        <v>1</v>
      </c>
      <c r="G138" s="13">
        <v>3</v>
      </c>
      <c r="H138" s="13">
        <v>1.539</v>
      </c>
      <c r="I138" s="13">
        <v>0.3</v>
      </c>
      <c r="J138" s="13" t="s">
        <v>549</v>
      </c>
      <c r="K138" s="13">
        <v>0</v>
      </c>
      <c r="L138" s="13">
        <v>274</v>
      </c>
      <c r="M138" s="13">
        <v>0</v>
      </c>
      <c r="N138" s="13">
        <v>0</v>
      </c>
      <c r="O138" s="13">
        <v>1243</v>
      </c>
      <c r="P138" s="13">
        <v>914</v>
      </c>
      <c r="Q138" s="13">
        <v>27</v>
      </c>
      <c r="R138" s="13">
        <v>329</v>
      </c>
      <c r="S138" s="13">
        <v>914</v>
      </c>
      <c r="T138" s="13">
        <v>58</v>
      </c>
      <c r="U138" s="13">
        <v>716</v>
      </c>
      <c r="V138" s="13" t="s">
        <v>132</v>
      </c>
      <c r="W138" s="13">
        <v>457</v>
      </c>
      <c r="X138" s="13" t="s">
        <v>133</v>
      </c>
      <c r="Y138" s="13" t="s">
        <v>134</v>
      </c>
      <c r="Z138" s="13" t="s"/>
      <c r="AA138" s="13" t="s">
        <v>540</v>
      </c>
      <c r="AB138" s="13" t="s">
        <v>541</v>
      </c>
      <c r="AC138" s="13" t="s">
        <v>542</v>
      </c>
      <c r="AD138" s="13" t="s">
        <v>138</v>
      </c>
      <c r="AE138" s="13" t="s">
        <v>138</v>
      </c>
      <c r="AF138" s="13">
        <v>0</v>
      </c>
      <c r="AG138" s="13">
        <v>447</v>
      </c>
      <c r="AH138" s="13">
        <v>447</v>
      </c>
      <c r="AI138" s="13" t="s">
        <v>543</v>
      </c>
      <c r="AJ138" s="13" t="s">
        <v>543</v>
      </c>
      <c r="AK138" s="13" t="s">
        <v>140</v>
      </c>
      <c r="AL138" s="13">
        <v>0</v>
      </c>
      <c r="AM138" s="13">
        <v>1.07</v>
      </c>
      <c r="AN138" s="13">
        <v>1.07</v>
      </c>
      <c r="AO138" s="13">
        <v>9.14</v>
      </c>
      <c r="AP138" s="13">
        <v>43</v>
      </c>
      <c r="AQ138" s="13">
        <v>74</v>
      </c>
      <c r="AR138" s="13">
        <v>327.68</v>
      </c>
      <c r="AS138" s="13">
        <v>25</v>
      </c>
      <c r="AT138" s="13">
        <v>0</v>
      </c>
      <c r="AU138" s="13">
        <v>49</v>
      </c>
      <c r="AV138" s="13">
        <v>10</v>
      </c>
      <c r="AW138" s="13">
        <v>30</v>
      </c>
      <c r="AX138" s="13">
        <v>0</v>
      </c>
      <c r="AY138" s="13">
        <v>74</v>
      </c>
      <c r="AZ138" s="13">
        <v>218</v>
      </c>
      <c r="BA138" s="13">
        <v>25</v>
      </c>
      <c r="BB138" s="13" t="s"/>
      <c r="BC138" s="13" t="s"/>
      <c r="BD138" s="1">
        <f>=IF(IF(BC138&lt;&gt;"",IF(BB138&lt;&gt;"",CEILING(((BB138-BC138)/BB138)*100,1),IF(AND(O138&lt;&gt;"",O138&gt;0),CEILING((((O138-BC138)/O138)*100),1),"")),"")&gt;=0,IF(BC138&lt;&gt;"",IF(BB138&lt;&gt;"",CEILING(((BB138-BC138)/BB138)*100,1),IF(AND(O138&lt;&gt;"",O138&gt;0),CEILING((((O138-BC138)/O138)*100),1),"")),""), "Ошибка: цена до скидки должна быть больше текущей.")</f>
      </c>
      <c r="BE138" s="13" t="s"/>
      <c r="BF138" s="13" t="s"/>
      <c r="BG138" s="13" t="s"/>
      <c r="BH138" s="13" t="s"/>
      <c r="BI138" s="13" t="s"/>
      <c r="BJ138" s="13" t="s"/>
      <c r="BK138" s="13" t="s"/>
    </row>
    <row r="139" ht="20" customHeight="true">
      <c r="A139" s="13" t="s">
        <v>550</v>
      </c>
      <c r="B139" s="13">
        <v>3437412011</v>
      </c>
      <c r="C139" s="13" t="s">
        <v>545</v>
      </c>
      <c r="D139" s="13" t="s">
        <v>129</v>
      </c>
      <c r="E139" s="13" t="s">
        <v>130</v>
      </c>
      <c r="F139" s="13">
        <v>0</v>
      </c>
      <c r="G139" s="13">
        <v>3</v>
      </c>
      <c r="H139" s="13">
        <v>4.446</v>
      </c>
      <c r="I139" s="13">
        <v>0.9</v>
      </c>
      <c r="J139" s="13" t="s">
        <v>551</v>
      </c>
      <c r="K139" s="13">
        <v>0</v>
      </c>
      <c r="L139" s="13">
        <v>154</v>
      </c>
      <c r="M139" s="13">
        <v>0</v>
      </c>
      <c r="N139" s="13">
        <v>0</v>
      </c>
      <c r="O139" s="13">
        <v>2400</v>
      </c>
      <c r="P139" s="13">
        <v>1140</v>
      </c>
      <c r="Q139" s="13">
        <v>53</v>
      </c>
      <c r="R139" s="13">
        <v>1260</v>
      </c>
      <c r="S139" s="13">
        <v>1140</v>
      </c>
      <c r="T139" s="13">
        <v>71</v>
      </c>
      <c r="U139" s="13">
        <v>1694</v>
      </c>
      <c r="V139" s="13" t="s">
        <v>132</v>
      </c>
      <c r="W139" s="13">
        <v>570</v>
      </c>
      <c r="X139" s="13" t="s">
        <v>138</v>
      </c>
      <c r="Y139" s="13" t="s">
        <v>147</v>
      </c>
      <c r="Z139" s="13" t="s"/>
      <c r="AA139" s="13" t="s">
        <v>540</v>
      </c>
      <c r="AB139" s="13" t="s">
        <v>173</v>
      </c>
      <c r="AC139" s="13" t="s"/>
      <c r="AD139" s="13" t="s">
        <v>138</v>
      </c>
      <c r="AE139" s="13" t="s">
        <v>138</v>
      </c>
      <c r="AF139" s="13">
        <v>0</v>
      </c>
      <c r="AG139" s="13">
        <v>662</v>
      </c>
      <c r="AH139" s="13">
        <v>662</v>
      </c>
      <c r="AI139" s="13" t="s">
        <v>547</v>
      </c>
      <c r="AJ139" s="13" t="s">
        <v>547</v>
      </c>
      <c r="AK139" s="13" t="s">
        <v>429</v>
      </c>
      <c r="AL139" s="13">
        <v>0</v>
      </c>
      <c r="AM139" s="13">
        <v>0.98</v>
      </c>
      <c r="AN139" s="13">
        <v>0.98</v>
      </c>
      <c r="AO139" s="13">
        <v>11.4</v>
      </c>
      <c r="AP139" s="13">
        <v>43</v>
      </c>
      <c r="AQ139" s="13">
        <v>89</v>
      </c>
      <c r="AR139" s="13">
        <v>513.8</v>
      </c>
      <c r="AS139" s="13">
        <v>25</v>
      </c>
      <c r="AT139" s="13">
        <v>0</v>
      </c>
      <c r="AU139" s="13">
        <v>49</v>
      </c>
      <c r="AV139" s="13">
        <v>10</v>
      </c>
      <c r="AW139" s="13">
        <v>30</v>
      </c>
      <c r="AX139" s="13">
        <v>0</v>
      </c>
      <c r="AY139" s="13">
        <v>89</v>
      </c>
      <c r="AZ139" s="13">
        <v>377</v>
      </c>
      <c r="BA139" s="13">
        <v>25</v>
      </c>
      <c r="BB139" s="13" t="s"/>
      <c r="BC139" s="13" t="s"/>
      <c r="BD139" s="1">
        <f>=IF(IF(BC139&lt;&gt;"",IF(BB139&lt;&gt;"",CEILING(((BB139-BC139)/BB139)*100,1),IF(AND(O139&lt;&gt;"",O139&gt;0),CEILING((((O139-BC139)/O139)*100),1),"")),"")&gt;=0,IF(BC139&lt;&gt;"",IF(BB139&lt;&gt;"",CEILING(((BB139-BC139)/BB139)*100,1),IF(AND(O139&lt;&gt;"",O139&gt;0),CEILING((((O139-BC139)/O139)*100),1),"")),""), "Ошибка: цена до скидки должна быть больше текущей.")</f>
      </c>
      <c r="BE139" s="13" t="s"/>
      <c r="BF139" s="13" t="s"/>
      <c r="BG139" s="13" t="s"/>
      <c r="BH139" s="13" t="s"/>
      <c r="BI139" s="13" t="s"/>
      <c r="BJ139" s="13" t="s"/>
      <c r="BK139" s="13" t="s"/>
    </row>
    <row r="140" ht="20" customHeight="true">
      <c r="A140" s="13" t="s">
        <v>552</v>
      </c>
      <c r="B140" s="13">
        <v>3463628805</v>
      </c>
      <c r="C140" s="13" t="s">
        <v>512</v>
      </c>
      <c r="D140" s="13" t="s">
        <v>129</v>
      </c>
      <c r="E140" s="13" t="s">
        <v>130</v>
      </c>
      <c r="F140" s="13">
        <v>1</v>
      </c>
      <c r="G140" s="13">
        <v>0</v>
      </c>
      <c r="H140" s="13">
        <v>17.544</v>
      </c>
      <c r="I140" s="13">
        <v>3.5</v>
      </c>
      <c r="J140" s="13" t="s">
        <v>553</v>
      </c>
      <c r="K140" s="13">
        <v>5627</v>
      </c>
      <c r="L140" s="13">
        <v>165</v>
      </c>
      <c r="M140" s="13">
        <v>0.61</v>
      </c>
      <c r="N140" s="13">
        <v>1</v>
      </c>
      <c r="O140" s="13">
        <v>9900</v>
      </c>
      <c r="P140" s="13">
        <v>5627</v>
      </c>
      <c r="Q140" s="13">
        <v>44</v>
      </c>
      <c r="R140" s="13">
        <v>4273</v>
      </c>
      <c r="S140" s="13">
        <v>5627</v>
      </c>
      <c r="T140" s="13">
        <v>70</v>
      </c>
      <c r="U140" s="13">
        <v>6878</v>
      </c>
      <c r="V140" s="13" t="s">
        <v>132</v>
      </c>
      <c r="W140" s="13">
        <v>2814</v>
      </c>
      <c r="X140" s="13" t="s">
        <v>138</v>
      </c>
      <c r="Y140" s="13" t="s">
        <v>147</v>
      </c>
      <c r="Z140" s="13" t="s"/>
      <c r="AA140" s="13" t="s">
        <v>514</v>
      </c>
      <c r="AB140" s="13" t="s">
        <v>554</v>
      </c>
      <c r="AC140" s="13" t="s">
        <v>555</v>
      </c>
      <c r="AD140" s="13" t="s">
        <v>138</v>
      </c>
      <c r="AE140" s="13" t="s">
        <v>138</v>
      </c>
      <c r="AF140" s="13">
        <v>0</v>
      </c>
      <c r="AG140" s="13">
        <v>2804</v>
      </c>
      <c r="AH140" s="13">
        <v>2804</v>
      </c>
      <c r="AI140" s="13" t="s">
        <v>531</v>
      </c>
      <c r="AJ140" s="13" t="s">
        <v>531</v>
      </c>
      <c r="AK140" s="13" t="s">
        <v>429</v>
      </c>
      <c r="AL140" s="13">
        <v>0</v>
      </c>
      <c r="AM140" s="13">
        <v>0.99</v>
      </c>
      <c r="AN140" s="13">
        <v>0.99</v>
      </c>
      <c r="AO140" s="13">
        <v>56.27</v>
      </c>
      <c r="AP140" s="13">
        <v>47</v>
      </c>
      <c r="AQ140" s="13">
        <v>131</v>
      </c>
      <c r="AR140" s="13">
        <v>1296.24</v>
      </c>
      <c r="AS140" s="13">
        <v>25</v>
      </c>
      <c r="AT140" s="13">
        <v>0</v>
      </c>
      <c r="AU140" s="13">
        <v>53</v>
      </c>
      <c r="AV140" s="13">
        <v>10</v>
      </c>
      <c r="AW140" s="13">
        <v>30</v>
      </c>
      <c r="AX140" s="13">
        <v>0</v>
      </c>
      <c r="AY140" s="13">
        <v>131</v>
      </c>
      <c r="AZ140" s="13">
        <v>621</v>
      </c>
      <c r="BA140" s="13">
        <v>25</v>
      </c>
      <c r="BB140" s="13" t="s"/>
      <c r="BC140" s="13" t="s"/>
      <c r="BD140" s="1">
        <f>=IF(IF(BC140&lt;&gt;"",IF(BB140&lt;&gt;"",CEILING(((BB140-BC140)/BB140)*100,1),IF(AND(O140&lt;&gt;"",O140&gt;0),CEILING((((O140-BC140)/O140)*100),1),"")),"")&gt;=0,IF(BC140&lt;&gt;"",IF(BB140&lt;&gt;"",CEILING(((BB140-BC140)/BB140)*100,1),IF(AND(O140&lt;&gt;"",O140&gt;0),CEILING((((O140-BC140)/O140)*100),1),"")),""), "Ошибка: цена до скидки должна быть больше текущей.")</f>
      </c>
      <c r="BE140" s="13" t="s"/>
      <c r="BF140" s="13" t="s"/>
      <c r="BG140" s="13" t="s"/>
      <c r="BH140" s="13" t="s"/>
      <c r="BI140" s="13" t="s"/>
      <c r="BJ140" s="13" t="s"/>
      <c r="BK140" s="13" t="s"/>
    </row>
    <row r="141" ht="20" customHeight="true">
      <c r="A141" s="13" t="s">
        <v>556</v>
      </c>
      <c r="B141" s="13">
        <v>3463628622</v>
      </c>
      <c r="C141" s="13" t="s">
        <v>512</v>
      </c>
      <c r="D141" s="13" t="s">
        <v>431</v>
      </c>
      <c r="E141" s="13" t="s">
        <v>130</v>
      </c>
      <c r="F141" s="13">
        <v>0</v>
      </c>
      <c r="G141" s="13">
        <v>0</v>
      </c>
      <c r="H141" s="13">
        <v>17.544</v>
      </c>
      <c r="I141" s="13">
        <v>3.5</v>
      </c>
      <c r="J141" s="13" t="s">
        <v>557</v>
      </c>
      <c r="K141" s="13">
        <v>0</v>
      </c>
      <c r="L141" s="13">
        <v>2</v>
      </c>
      <c r="M141" s="13">
        <v>0</v>
      </c>
      <c r="N141" s="13">
        <v>0</v>
      </c>
      <c r="O141" s="13">
        <v>9900</v>
      </c>
      <c r="P141" s="13">
        <v>5900</v>
      </c>
      <c r="Q141" s="13">
        <v>41</v>
      </c>
      <c r="R141" s="13">
        <v>4000</v>
      </c>
      <c r="S141" s="13">
        <v>5900</v>
      </c>
      <c r="T141" s="13">
        <v>41</v>
      </c>
      <c r="U141" s="13">
        <v>4000</v>
      </c>
      <c r="V141" s="13" t="s">
        <v>132</v>
      </c>
      <c r="W141" s="13">
        <v>2950</v>
      </c>
      <c r="X141" s="13" t="s">
        <v>138</v>
      </c>
      <c r="Y141" s="13" t="s">
        <v>147</v>
      </c>
      <c r="Z141" s="13" t="s"/>
      <c r="AA141" s="13" t="s">
        <v>514</v>
      </c>
      <c r="AB141" s="13" t="s">
        <v>515</v>
      </c>
      <c r="AC141" s="13" t="s">
        <v>516</v>
      </c>
      <c r="AD141" s="13" t="s">
        <v>138</v>
      </c>
      <c r="AE141" s="13" t="s">
        <v>138</v>
      </c>
      <c r="AF141" s="13">
        <v>0</v>
      </c>
      <c r="AG141" s="13">
        <v>3605</v>
      </c>
      <c r="AH141" s="13">
        <v>3605</v>
      </c>
      <c r="AI141" s="13" t="s">
        <v>520</v>
      </c>
      <c r="AJ141" s="13" t="s">
        <v>520</v>
      </c>
      <c r="AK141" s="13" t="s">
        <v>140</v>
      </c>
      <c r="AL141" s="13">
        <v>0</v>
      </c>
      <c r="AM141" s="13">
        <v>1.39</v>
      </c>
      <c r="AN141" s="13">
        <v>1.39</v>
      </c>
      <c r="AO141" s="13">
        <v>59</v>
      </c>
      <c r="AP141" s="13">
        <v>47</v>
      </c>
      <c r="AQ141" s="13">
        <v>131</v>
      </c>
      <c r="AR141" s="13">
        <v>1329</v>
      </c>
      <c r="AS141" s="13">
        <v>25</v>
      </c>
      <c r="AT141" s="13">
        <v>0</v>
      </c>
      <c r="AU141" s="13">
        <v>53</v>
      </c>
      <c r="AV141" s="13">
        <v>10</v>
      </c>
      <c r="AW141" s="13">
        <v>30</v>
      </c>
      <c r="AX141" s="13">
        <v>0</v>
      </c>
      <c r="AY141" s="13">
        <v>131</v>
      </c>
      <c r="AZ141" s="13">
        <v>621</v>
      </c>
      <c r="BA141" s="13">
        <v>25</v>
      </c>
      <c r="BB141" s="13" t="s"/>
      <c r="BC141" s="13" t="s"/>
      <c r="BD141" s="1">
        <f>=IF(IF(BC141&lt;&gt;"",IF(BB141&lt;&gt;"",CEILING(((BB141-BC141)/BB141)*100,1),IF(AND(O141&lt;&gt;"",O141&gt;0),CEILING((((O141-BC141)/O141)*100),1),"")),"")&gt;=0,IF(BC141&lt;&gt;"",IF(BB141&lt;&gt;"",CEILING(((BB141-BC141)/BB141)*100,1),IF(AND(O141&lt;&gt;"",O141&gt;0),CEILING((((O141-BC141)/O141)*100),1),"")),""), "Ошибка: цена до скидки должна быть больше текущей.")</f>
      </c>
      <c r="BE141" s="13" t="s"/>
      <c r="BF141" s="13" t="s"/>
      <c r="BG141" s="13" t="s"/>
      <c r="BH141" s="13" t="s"/>
      <c r="BI141" s="13" t="s"/>
      <c r="BJ141" s="13" t="s"/>
      <c r="BK141" s="13" t="s"/>
    </row>
    <row r="142" ht="20" customHeight="true">
      <c r="A142" s="13" t="s">
        <v>558</v>
      </c>
      <c r="B142" s="13">
        <v>3463628628</v>
      </c>
      <c r="C142" s="13" t="s">
        <v>512</v>
      </c>
      <c r="D142" s="13" t="s">
        <v>431</v>
      </c>
      <c r="E142" s="13" t="s">
        <v>130</v>
      </c>
      <c r="F142" s="13">
        <v>0</v>
      </c>
      <c r="G142" s="13">
        <v>0</v>
      </c>
      <c r="H142" s="13">
        <v>17.544</v>
      </c>
      <c r="I142" s="13">
        <v>3.5</v>
      </c>
      <c r="J142" s="13" t="s">
        <v>559</v>
      </c>
      <c r="K142" s="13">
        <v>0</v>
      </c>
      <c r="L142" s="13">
        <v>0</v>
      </c>
      <c r="M142" s="13">
        <v>0</v>
      </c>
      <c r="N142" s="13">
        <v>0</v>
      </c>
      <c r="O142" s="13">
        <v>9900</v>
      </c>
      <c r="P142" s="13">
        <v>5900</v>
      </c>
      <c r="Q142" s="13">
        <v>41</v>
      </c>
      <c r="R142" s="13">
        <v>4000</v>
      </c>
      <c r="S142" s="13">
        <v>5900</v>
      </c>
      <c r="T142" s="13">
        <v>41</v>
      </c>
      <c r="U142" s="13">
        <v>4000</v>
      </c>
      <c r="V142" s="13" t="s">
        <v>132</v>
      </c>
      <c r="W142" s="13">
        <v>2950</v>
      </c>
      <c r="X142" s="13" t="s">
        <v>138</v>
      </c>
      <c r="Y142" s="13" t="s">
        <v>147</v>
      </c>
      <c r="Z142" s="13" t="s"/>
      <c r="AA142" s="13" t="s">
        <v>514</v>
      </c>
      <c r="AB142" s="13" t="s">
        <v>515</v>
      </c>
      <c r="AC142" s="13" t="s">
        <v>516</v>
      </c>
      <c r="AD142" s="13" t="s">
        <v>138</v>
      </c>
      <c r="AE142" s="13" t="s">
        <v>138</v>
      </c>
      <c r="AF142" s="13">
        <v>0</v>
      </c>
      <c r="AG142" s="13">
        <v>3605</v>
      </c>
      <c r="AH142" s="13">
        <v>3605</v>
      </c>
      <c r="AI142" s="13" t="s">
        <v>520</v>
      </c>
      <c r="AJ142" s="13" t="s">
        <v>520</v>
      </c>
      <c r="AK142" s="13" t="s">
        <v>140</v>
      </c>
      <c r="AL142" s="13">
        <v>0</v>
      </c>
      <c r="AM142" s="13">
        <v>1.39</v>
      </c>
      <c r="AN142" s="13">
        <v>1.39</v>
      </c>
      <c r="AO142" s="13">
        <v>59</v>
      </c>
      <c r="AP142" s="13">
        <v>47</v>
      </c>
      <c r="AQ142" s="13">
        <v>131</v>
      </c>
      <c r="AR142" s="13">
        <v>1329</v>
      </c>
      <c r="AS142" s="13">
        <v>25</v>
      </c>
      <c r="AT142" s="13">
        <v>0</v>
      </c>
      <c r="AU142" s="13">
        <v>53</v>
      </c>
      <c r="AV142" s="13">
        <v>10</v>
      </c>
      <c r="AW142" s="13">
        <v>30</v>
      </c>
      <c r="AX142" s="13">
        <v>0</v>
      </c>
      <c r="AY142" s="13">
        <v>131</v>
      </c>
      <c r="AZ142" s="13">
        <v>621</v>
      </c>
      <c r="BA142" s="13">
        <v>25</v>
      </c>
      <c r="BB142" s="13" t="s"/>
      <c r="BC142" s="13" t="s"/>
      <c r="BD142" s="1">
        <f>=IF(IF(BC142&lt;&gt;"",IF(BB142&lt;&gt;"",CEILING(((BB142-BC142)/BB142)*100,1),IF(AND(O142&lt;&gt;"",O142&gt;0),CEILING((((O142-BC142)/O142)*100),1),"")),"")&gt;=0,IF(BC142&lt;&gt;"",IF(BB142&lt;&gt;"",CEILING(((BB142-BC142)/BB142)*100,1),IF(AND(O142&lt;&gt;"",O142&gt;0),CEILING((((O142-BC142)/O142)*100),1),"")),""), "Ошибка: цена до скидки должна быть больше текущей.")</f>
      </c>
      <c r="BE142" s="13" t="s"/>
      <c r="BF142" s="13" t="s"/>
      <c r="BG142" s="13" t="s"/>
      <c r="BH142" s="13" t="s"/>
      <c r="BI142" s="13" t="s"/>
      <c r="BJ142" s="13" t="s"/>
      <c r="BK142" s="13" t="s"/>
    </row>
    <row r="143" ht="20" customHeight="true">
      <c r="A143" s="13" t="s">
        <v>560</v>
      </c>
      <c r="B143" s="13">
        <v>3463629195</v>
      </c>
      <c r="C143" s="13" t="s">
        <v>512</v>
      </c>
      <c r="D143" s="13" t="s">
        <v>129</v>
      </c>
      <c r="E143" s="13" t="s">
        <v>130</v>
      </c>
      <c r="F143" s="13">
        <v>1</v>
      </c>
      <c r="G143" s="13">
        <v>1</v>
      </c>
      <c r="H143" s="13">
        <v>17.544</v>
      </c>
      <c r="I143" s="13">
        <v>3.5</v>
      </c>
      <c r="J143" s="13" t="s">
        <v>561</v>
      </c>
      <c r="K143" s="13">
        <v>0</v>
      </c>
      <c r="L143" s="13">
        <v>218</v>
      </c>
      <c r="M143" s="13">
        <v>0</v>
      </c>
      <c r="N143" s="13">
        <v>0</v>
      </c>
      <c r="O143" s="13">
        <v>9900</v>
      </c>
      <c r="P143" s="13">
        <v>5627</v>
      </c>
      <c r="Q143" s="13">
        <v>44</v>
      </c>
      <c r="R143" s="13">
        <v>4273</v>
      </c>
      <c r="S143" s="13">
        <v>5627</v>
      </c>
      <c r="T143" s="13">
        <v>73</v>
      </c>
      <c r="U143" s="13">
        <v>7133</v>
      </c>
      <c r="V143" s="13" t="s">
        <v>132</v>
      </c>
      <c r="W143" s="13">
        <v>2814</v>
      </c>
      <c r="X143" s="13" t="s">
        <v>138</v>
      </c>
      <c r="Y143" s="13" t="s">
        <v>147</v>
      </c>
      <c r="Z143" s="13" t="s"/>
      <c r="AA143" s="13" t="s">
        <v>514</v>
      </c>
      <c r="AB143" s="13" t="s">
        <v>554</v>
      </c>
      <c r="AC143" s="13" t="s">
        <v>555</v>
      </c>
      <c r="AD143" s="13" t="s">
        <v>138</v>
      </c>
      <c r="AE143" s="13" t="s">
        <v>138</v>
      </c>
      <c r="AF143" s="13">
        <v>0</v>
      </c>
      <c r="AG143" s="13">
        <v>2804</v>
      </c>
      <c r="AH143" s="13">
        <v>2804</v>
      </c>
      <c r="AI143" s="13" t="s">
        <v>531</v>
      </c>
      <c r="AJ143" s="13" t="s">
        <v>531</v>
      </c>
      <c r="AK143" s="13" t="s">
        <v>327</v>
      </c>
      <c r="AL143" s="13">
        <v>0</v>
      </c>
      <c r="AM143" s="13">
        <v>0.9</v>
      </c>
      <c r="AN143" s="13">
        <v>0.9</v>
      </c>
      <c r="AO143" s="13">
        <v>56.27</v>
      </c>
      <c r="AP143" s="13">
        <v>47</v>
      </c>
      <c r="AQ143" s="13">
        <v>131</v>
      </c>
      <c r="AR143" s="13">
        <v>1296.24</v>
      </c>
      <c r="AS143" s="13">
        <v>25</v>
      </c>
      <c r="AT143" s="13">
        <v>0</v>
      </c>
      <c r="AU143" s="13">
        <v>53</v>
      </c>
      <c r="AV143" s="13">
        <v>10</v>
      </c>
      <c r="AW143" s="13">
        <v>30</v>
      </c>
      <c r="AX143" s="13">
        <v>0</v>
      </c>
      <c r="AY143" s="13">
        <v>131</v>
      </c>
      <c r="AZ143" s="13">
        <v>621</v>
      </c>
      <c r="BA143" s="13">
        <v>25</v>
      </c>
      <c r="BB143" s="13" t="s"/>
      <c r="BC143" s="13" t="s"/>
      <c r="BD143" s="1">
        <f>=IF(IF(BC143&lt;&gt;"",IF(BB143&lt;&gt;"",CEILING(((BB143-BC143)/BB143)*100,1),IF(AND(O143&lt;&gt;"",O143&gt;0),CEILING((((O143-BC143)/O143)*100),1),"")),"")&gt;=0,IF(BC143&lt;&gt;"",IF(BB143&lt;&gt;"",CEILING(((BB143-BC143)/BB143)*100,1),IF(AND(O143&lt;&gt;"",O143&gt;0),CEILING((((O143-BC143)/O143)*100),1),"")),""), "Ошибка: цена до скидки должна быть больше текущей.")</f>
      </c>
      <c r="BE143" s="13" t="s"/>
      <c r="BF143" s="13" t="s"/>
      <c r="BG143" s="13" t="s"/>
      <c r="BH143" s="13" t="s"/>
      <c r="BI143" s="13" t="s"/>
      <c r="BJ143" s="13" t="s"/>
      <c r="BK143" s="13" t="s"/>
    </row>
    <row r="144" ht="20" customHeight="true">
      <c r="A144" s="13" t="s">
        <v>562</v>
      </c>
      <c r="B144" s="13">
        <v>3463628373</v>
      </c>
      <c r="C144" s="13" t="s">
        <v>512</v>
      </c>
      <c r="D144" s="13" t="s">
        <v>129</v>
      </c>
      <c r="E144" s="13" t="s">
        <v>130</v>
      </c>
      <c r="F144" s="13">
        <v>0</v>
      </c>
      <c r="G144" s="13">
        <v>1</v>
      </c>
      <c r="H144" s="13">
        <v>17.544</v>
      </c>
      <c r="I144" s="13">
        <v>3.5</v>
      </c>
      <c r="J144" s="13" t="s">
        <v>563</v>
      </c>
      <c r="K144" s="13">
        <v>0</v>
      </c>
      <c r="L144" s="13">
        <v>40</v>
      </c>
      <c r="M144" s="13">
        <v>0</v>
      </c>
      <c r="N144" s="13">
        <v>0</v>
      </c>
      <c r="O144" s="13">
        <v>9900</v>
      </c>
      <c r="P144" s="13">
        <v>5900</v>
      </c>
      <c r="Q144" s="13">
        <v>41</v>
      </c>
      <c r="R144" s="13">
        <v>4000</v>
      </c>
      <c r="S144" s="13">
        <v>5900</v>
      </c>
      <c r="T144" s="13">
        <v>71</v>
      </c>
      <c r="U144" s="13">
        <v>7001</v>
      </c>
      <c r="V144" s="13" t="s">
        <v>132</v>
      </c>
      <c r="W144" s="13">
        <v>2950</v>
      </c>
      <c r="X144" s="13" t="s">
        <v>138</v>
      </c>
      <c r="Y144" s="13" t="s">
        <v>147</v>
      </c>
      <c r="Z144" s="13" t="s"/>
      <c r="AA144" s="13" t="s">
        <v>514</v>
      </c>
      <c r="AB144" s="13" t="s">
        <v>515</v>
      </c>
      <c r="AC144" s="13" t="s">
        <v>516</v>
      </c>
      <c r="AD144" s="13" t="s">
        <v>138</v>
      </c>
      <c r="AE144" s="13" t="s">
        <v>138</v>
      </c>
      <c r="AF144" s="13">
        <v>0</v>
      </c>
      <c r="AG144" s="13">
        <v>3605</v>
      </c>
      <c r="AH144" s="13">
        <v>3605</v>
      </c>
      <c r="AI144" s="13" t="s">
        <v>520</v>
      </c>
      <c r="AJ144" s="13" t="s">
        <v>520</v>
      </c>
      <c r="AK144" s="13" t="s">
        <v>327</v>
      </c>
      <c r="AL144" s="13">
        <v>0</v>
      </c>
      <c r="AM144" s="13">
        <v>0.74</v>
      </c>
      <c r="AN144" s="13">
        <v>0.74</v>
      </c>
      <c r="AO144" s="13">
        <v>59</v>
      </c>
      <c r="AP144" s="13">
        <v>47</v>
      </c>
      <c r="AQ144" s="13">
        <v>131</v>
      </c>
      <c r="AR144" s="13">
        <v>1329</v>
      </c>
      <c r="AS144" s="13">
        <v>25</v>
      </c>
      <c r="AT144" s="13">
        <v>0</v>
      </c>
      <c r="AU144" s="13">
        <v>53</v>
      </c>
      <c r="AV144" s="13">
        <v>10</v>
      </c>
      <c r="AW144" s="13">
        <v>30</v>
      </c>
      <c r="AX144" s="13">
        <v>0</v>
      </c>
      <c r="AY144" s="13">
        <v>131</v>
      </c>
      <c r="AZ144" s="13">
        <v>621</v>
      </c>
      <c r="BA144" s="13">
        <v>25</v>
      </c>
      <c r="BB144" s="13" t="s"/>
      <c r="BC144" s="13" t="s"/>
      <c r="BD144" s="1">
        <f>=IF(IF(BC144&lt;&gt;"",IF(BB144&lt;&gt;"",CEILING(((BB144-BC144)/BB144)*100,1),IF(AND(O144&lt;&gt;"",O144&gt;0),CEILING((((O144-BC144)/O144)*100),1),"")),"")&gt;=0,IF(BC144&lt;&gt;"",IF(BB144&lt;&gt;"",CEILING(((BB144-BC144)/BB144)*100,1),IF(AND(O144&lt;&gt;"",O144&gt;0),CEILING((((O144-BC144)/O144)*100),1),"")),""), "Ошибка: цена до скидки должна быть больше текущей.")</f>
      </c>
      <c r="BE144" s="13" t="s"/>
      <c r="BF144" s="13" t="s"/>
      <c r="BG144" s="13" t="s"/>
      <c r="BH144" s="13" t="s"/>
      <c r="BI144" s="13" t="s"/>
      <c r="BJ144" s="13" t="s"/>
      <c r="BK144" s="13" t="s"/>
    </row>
    <row r="145" ht="20" customHeight="true">
      <c r="A145" s="13" t="s">
        <v>564</v>
      </c>
      <c r="B145" s="13">
        <v>3792395354</v>
      </c>
      <c r="C145" s="13" t="s">
        <v>128</v>
      </c>
      <c r="D145" s="13" t="s">
        <v>431</v>
      </c>
      <c r="E145" s="13" t="s">
        <v>130</v>
      </c>
      <c r="F145" s="13">
        <v>0</v>
      </c>
      <c r="G145" s="13">
        <v>0</v>
      </c>
      <c r="H145" s="13">
        <v>3.038</v>
      </c>
      <c r="I145" s="13">
        <v>0.6</v>
      </c>
      <c r="J145" s="13" t="s">
        <v>565</v>
      </c>
      <c r="K145" s="13">
        <v>0</v>
      </c>
      <c r="L145" s="13">
        <v>0</v>
      </c>
      <c r="M145" s="13">
        <v>0</v>
      </c>
      <c r="N145" s="13">
        <v>0</v>
      </c>
      <c r="O145" s="13">
        <v>1176</v>
      </c>
      <c r="P145" s="13">
        <v>865</v>
      </c>
      <c r="Q145" s="13">
        <v>27</v>
      </c>
      <c r="R145" s="13">
        <v>311</v>
      </c>
      <c r="S145" s="13">
        <v>865</v>
      </c>
      <c r="T145" s="13">
        <v>27</v>
      </c>
      <c r="U145" s="13">
        <v>311</v>
      </c>
      <c r="V145" s="13" t="s">
        <v>132</v>
      </c>
      <c r="W145" s="13">
        <v>433</v>
      </c>
      <c r="X145" s="13" t="s">
        <v>133</v>
      </c>
      <c r="Y145" s="13" t="s">
        <v>134</v>
      </c>
      <c r="Z145" s="13" t="s"/>
      <c r="AA145" s="13" t="s">
        <v>566</v>
      </c>
      <c r="AB145" s="13" t="s">
        <v>567</v>
      </c>
      <c r="AC145" s="13" t="s">
        <v>568</v>
      </c>
      <c r="AD145" s="13" t="s">
        <v>138</v>
      </c>
      <c r="AE145" s="13" t="s">
        <v>138</v>
      </c>
      <c r="AF145" s="13">
        <v>0</v>
      </c>
      <c r="AG145" s="13">
        <v>456</v>
      </c>
      <c r="AH145" s="13">
        <v>456</v>
      </c>
      <c r="AI145" s="13" t="s">
        <v>423</v>
      </c>
      <c r="AJ145" s="13" t="s">
        <v>423</v>
      </c>
      <c r="AK145" s="13" t="s">
        <v>140</v>
      </c>
      <c r="AL145" s="13">
        <v>0</v>
      </c>
      <c r="AM145" s="13">
        <v>1.47</v>
      </c>
      <c r="AN145" s="13">
        <v>1.47</v>
      </c>
      <c r="AO145" s="13">
        <v>8.65</v>
      </c>
      <c r="AP145" s="13">
        <v>38</v>
      </c>
      <c r="AQ145" s="13">
        <v>78</v>
      </c>
      <c r="AR145" s="13">
        <v>403.8</v>
      </c>
      <c r="AS145" s="13">
        <v>25</v>
      </c>
      <c r="AT145" s="13">
        <v>0</v>
      </c>
      <c r="AU145" s="13">
        <v>47</v>
      </c>
      <c r="AV145" s="13">
        <v>10</v>
      </c>
      <c r="AW145" s="13">
        <v>30</v>
      </c>
      <c r="AX145" s="13">
        <v>0</v>
      </c>
      <c r="AY145" s="13">
        <v>78</v>
      </c>
      <c r="AZ145" s="13">
        <v>300</v>
      </c>
      <c r="BA145" s="13">
        <v>25</v>
      </c>
      <c r="BB145" s="13" t="s"/>
      <c r="BC145" s="13" t="s"/>
      <c r="BD145" s="1">
        <f>=IF(IF(BC145&lt;&gt;"",IF(BB145&lt;&gt;"",CEILING(((BB145-BC145)/BB145)*100,1),IF(AND(O145&lt;&gt;"",O145&gt;0),CEILING((((O145-BC145)/O145)*100),1),"")),"")&gt;=0,IF(BC145&lt;&gt;"",IF(BB145&lt;&gt;"",CEILING(((BB145-BC145)/BB145)*100,1),IF(AND(O145&lt;&gt;"",O145&gt;0),CEILING((((O145-BC145)/O145)*100),1),"")),""), "Ошибка: цена до скидки должна быть больше текущей.")</f>
      </c>
      <c r="BE145" s="13" t="s"/>
      <c r="BF145" s="13" t="s"/>
      <c r="BG145" s="13" t="s"/>
      <c r="BH145" s="13" t="s"/>
      <c r="BI145" s="13" t="s"/>
      <c r="BJ145" s="13" t="s"/>
      <c r="BK145" s="13" t="s"/>
    </row>
    <row r="146" ht="20" customHeight="true">
      <c r="A146" s="13" t="s">
        <v>569</v>
      </c>
      <c r="B146" s="13">
        <v>3792490509</v>
      </c>
      <c r="C146" s="13" t="s">
        <v>128</v>
      </c>
      <c r="D146" s="13" t="s">
        <v>129</v>
      </c>
      <c r="E146" s="13" t="s">
        <v>130</v>
      </c>
      <c r="F146" s="13">
        <v>154</v>
      </c>
      <c r="G146" s="13">
        <v>0</v>
      </c>
      <c r="H146" s="13">
        <v>2.912</v>
      </c>
      <c r="I146" s="13">
        <v>0.6</v>
      </c>
      <c r="J146" s="13" t="s">
        <v>570</v>
      </c>
      <c r="K146" s="13">
        <v>0</v>
      </c>
      <c r="L146" s="13">
        <v>139</v>
      </c>
      <c r="M146" s="13">
        <v>0</v>
      </c>
      <c r="N146" s="13">
        <v>0</v>
      </c>
      <c r="O146" s="13">
        <v>1176</v>
      </c>
      <c r="P146" s="13">
        <v>865</v>
      </c>
      <c r="Q146" s="13">
        <v>27</v>
      </c>
      <c r="R146" s="13">
        <v>311</v>
      </c>
      <c r="S146" s="13">
        <v>865</v>
      </c>
      <c r="T146" s="13">
        <v>50</v>
      </c>
      <c r="U146" s="13">
        <v>581</v>
      </c>
      <c r="V146" s="13" t="s">
        <v>132</v>
      </c>
      <c r="W146" s="13">
        <v>433</v>
      </c>
      <c r="X146" s="13" t="s">
        <v>133</v>
      </c>
      <c r="Y146" s="13" t="s">
        <v>134</v>
      </c>
      <c r="Z146" s="13" t="s"/>
      <c r="AA146" s="13" t="s">
        <v>571</v>
      </c>
      <c r="AB146" s="13" t="s">
        <v>567</v>
      </c>
      <c r="AC146" s="13" t="s">
        <v>568</v>
      </c>
      <c r="AD146" s="13" t="s">
        <v>138</v>
      </c>
      <c r="AE146" s="13" t="s">
        <v>138</v>
      </c>
      <c r="AF146" s="13">
        <v>0</v>
      </c>
      <c r="AG146" s="13">
        <v>456</v>
      </c>
      <c r="AH146" s="13">
        <v>456</v>
      </c>
      <c r="AI146" s="13" t="s">
        <v>423</v>
      </c>
      <c r="AJ146" s="13" t="s">
        <v>423</v>
      </c>
      <c r="AK146" s="13" t="s">
        <v>140</v>
      </c>
      <c r="AL146" s="13">
        <v>0</v>
      </c>
      <c r="AM146" s="13">
        <v>1.16</v>
      </c>
      <c r="AN146" s="13">
        <v>1.16</v>
      </c>
      <c r="AO146" s="13">
        <v>8.65</v>
      </c>
      <c r="AP146" s="13">
        <v>38</v>
      </c>
      <c r="AQ146" s="13">
        <v>74</v>
      </c>
      <c r="AR146" s="13">
        <v>339.8</v>
      </c>
      <c r="AS146" s="13">
        <v>25</v>
      </c>
      <c r="AT146" s="13">
        <v>0</v>
      </c>
      <c r="AU146" s="13">
        <v>47</v>
      </c>
      <c r="AV146" s="13">
        <v>10</v>
      </c>
      <c r="AW146" s="13">
        <v>30</v>
      </c>
      <c r="AX146" s="13">
        <v>0</v>
      </c>
      <c r="AY146" s="13">
        <v>74</v>
      </c>
      <c r="AZ146" s="13">
        <v>236</v>
      </c>
      <c r="BA146" s="13">
        <v>25</v>
      </c>
      <c r="BB146" s="13" t="s"/>
      <c r="BC146" s="13" t="s"/>
      <c r="BD146" s="1">
        <f>=IF(IF(BC146&lt;&gt;"",IF(BB146&lt;&gt;"",CEILING(((BB146-BC146)/BB146)*100,1),IF(AND(O146&lt;&gt;"",O146&gt;0),CEILING((((O146-BC146)/O146)*100),1),"")),"")&gt;=0,IF(BC146&lt;&gt;"",IF(BB146&lt;&gt;"",CEILING(((BB146-BC146)/BB146)*100,1),IF(AND(O146&lt;&gt;"",O146&gt;0),CEILING((((O146-BC146)/O146)*100),1),"")),""), "Ошибка: цена до скидки должна быть больше текущей.")</f>
      </c>
      <c r="BE146" s="13" t="s"/>
      <c r="BF146" s="13" t="s"/>
      <c r="BG146" s="13" t="s"/>
      <c r="BH146" s="13" t="s"/>
      <c r="BI146" s="13" t="s"/>
      <c r="BJ146" s="13" t="s"/>
      <c r="BK146" s="13" t="s"/>
    </row>
    <row r="147" ht="20" customHeight="true">
      <c r="A147" s="13" t="s">
        <v>572</v>
      </c>
      <c r="B147" s="13">
        <v>3792491342</v>
      </c>
      <c r="C147" s="13" t="s">
        <v>128</v>
      </c>
      <c r="D147" s="13" t="s">
        <v>129</v>
      </c>
      <c r="E147" s="13" t="s">
        <v>130</v>
      </c>
      <c r="F147" s="13">
        <v>242</v>
      </c>
      <c r="G147" s="13">
        <v>0</v>
      </c>
      <c r="H147" s="13">
        <v>2.912</v>
      </c>
      <c r="I147" s="13">
        <v>0.6</v>
      </c>
      <c r="J147" s="13" t="s">
        <v>573</v>
      </c>
      <c r="K147" s="13">
        <v>2478</v>
      </c>
      <c r="L147" s="13">
        <v>1142</v>
      </c>
      <c r="M147" s="13">
        <v>0.26</v>
      </c>
      <c r="N147" s="13">
        <v>3</v>
      </c>
      <c r="O147" s="13">
        <v>1176</v>
      </c>
      <c r="P147" s="13">
        <v>865</v>
      </c>
      <c r="Q147" s="13">
        <v>27</v>
      </c>
      <c r="R147" s="13">
        <v>311</v>
      </c>
      <c r="S147" s="13">
        <v>826</v>
      </c>
      <c r="T147" s="13">
        <v>52</v>
      </c>
      <c r="U147" s="13">
        <v>610</v>
      </c>
      <c r="V147" s="13" t="s">
        <v>132</v>
      </c>
      <c r="W147" s="13">
        <v>820</v>
      </c>
      <c r="X147" s="13" t="s">
        <v>138</v>
      </c>
      <c r="Y147" s="13" t="s">
        <v>147</v>
      </c>
      <c r="Z147" s="13" t="s"/>
      <c r="AA147" s="13" t="s">
        <v>574</v>
      </c>
      <c r="AB147" s="13" t="s">
        <v>575</v>
      </c>
      <c r="AC147" s="13" t="s">
        <v>177</v>
      </c>
      <c r="AD147" s="13" t="s">
        <v>138</v>
      </c>
      <c r="AE147" s="13" t="s">
        <v>138</v>
      </c>
      <c r="AF147" s="13">
        <v>0</v>
      </c>
      <c r="AG147" s="13">
        <v>456</v>
      </c>
      <c r="AH147" s="13">
        <v>456</v>
      </c>
      <c r="AI147" s="13" t="s">
        <v>423</v>
      </c>
      <c r="AJ147" s="13" t="s">
        <v>423</v>
      </c>
      <c r="AK147" s="13" t="s">
        <v>140</v>
      </c>
      <c r="AL147" s="13">
        <v>0</v>
      </c>
      <c r="AM147" s="13">
        <v>1.12</v>
      </c>
      <c r="AN147" s="13">
        <v>1.12</v>
      </c>
      <c r="AO147" s="13">
        <v>8.26</v>
      </c>
      <c r="AP147" s="13">
        <v>38</v>
      </c>
      <c r="AQ147" s="13">
        <v>74</v>
      </c>
      <c r="AR147" s="13">
        <v>335.12</v>
      </c>
      <c r="AS147" s="13">
        <v>25</v>
      </c>
      <c r="AT147" s="13">
        <v>0</v>
      </c>
      <c r="AU147" s="13">
        <v>47</v>
      </c>
      <c r="AV147" s="13">
        <v>10</v>
      </c>
      <c r="AW147" s="13">
        <v>30</v>
      </c>
      <c r="AX147" s="13">
        <v>0</v>
      </c>
      <c r="AY147" s="13">
        <v>74</v>
      </c>
      <c r="AZ147" s="13">
        <v>236</v>
      </c>
      <c r="BA147" s="13">
        <v>25</v>
      </c>
      <c r="BB147" s="13" t="s"/>
      <c r="BC147" s="13" t="s"/>
      <c r="BD147" s="1">
        <f>=IF(IF(BC147&lt;&gt;"",IF(BB147&lt;&gt;"",CEILING(((BB147-BC147)/BB147)*100,1),IF(AND(O147&lt;&gt;"",O147&gt;0),CEILING((((O147-BC147)/O147)*100),1),"")),"")&gt;=0,IF(BC147&lt;&gt;"",IF(BB147&lt;&gt;"",CEILING(((BB147-BC147)/BB147)*100,1),IF(AND(O147&lt;&gt;"",O147&gt;0),CEILING((((O147-BC147)/O147)*100),1),"")),""), "Ошибка: цена до скидки должна быть больше текущей.")</f>
      </c>
      <c r="BE147" s="13" t="s"/>
      <c r="BF147" s="13" t="s"/>
      <c r="BG147" s="13" t="s"/>
      <c r="BH147" s="13" t="s"/>
      <c r="BI147" s="13" t="s"/>
      <c r="BJ147" s="13" t="s"/>
      <c r="BK147" s="13" t="s"/>
    </row>
    <row r="148" ht="20" customHeight="true">
      <c r="A148" s="13" t="s">
        <v>576</v>
      </c>
      <c r="B148" s="13">
        <v>3792490207</v>
      </c>
      <c r="C148" s="13" t="s">
        <v>128</v>
      </c>
      <c r="D148" s="13" t="s">
        <v>129</v>
      </c>
      <c r="E148" s="13" t="s">
        <v>130</v>
      </c>
      <c r="F148" s="13">
        <v>213</v>
      </c>
      <c r="G148" s="13">
        <v>0</v>
      </c>
      <c r="H148" s="13">
        <v>1.782</v>
      </c>
      <c r="I148" s="13">
        <v>0.4</v>
      </c>
      <c r="J148" s="13" t="s">
        <v>577</v>
      </c>
      <c r="K148" s="13">
        <v>0</v>
      </c>
      <c r="L148" s="13">
        <v>598</v>
      </c>
      <c r="M148" s="13">
        <v>0</v>
      </c>
      <c r="N148" s="13">
        <v>0</v>
      </c>
      <c r="O148" s="13">
        <v>1176</v>
      </c>
      <c r="P148" s="13">
        <v>865</v>
      </c>
      <c r="Q148" s="13">
        <v>27</v>
      </c>
      <c r="R148" s="13">
        <v>311</v>
      </c>
      <c r="S148" s="13">
        <v>865</v>
      </c>
      <c r="T148" s="13">
        <v>50</v>
      </c>
      <c r="U148" s="13">
        <v>586</v>
      </c>
      <c r="V148" s="13" t="s">
        <v>132</v>
      </c>
      <c r="W148" s="13">
        <v>433</v>
      </c>
      <c r="X148" s="13" t="s">
        <v>133</v>
      </c>
      <c r="Y148" s="13" t="s">
        <v>134</v>
      </c>
      <c r="Z148" s="13" t="s"/>
      <c r="AA148" s="13" t="s">
        <v>578</v>
      </c>
      <c r="AB148" s="13" t="s">
        <v>567</v>
      </c>
      <c r="AC148" s="13" t="s">
        <v>568</v>
      </c>
      <c r="AD148" s="13" t="s">
        <v>138</v>
      </c>
      <c r="AE148" s="13" t="s">
        <v>138</v>
      </c>
      <c r="AF148" s="13">
        <v>0</v>
      </c>
      <c r="AG148" s="13">
        <v>456</v>
      </c>
      <c r="AH148" s="13">
        <v>456</v>
      </c>
      <c r="AI148" s="13" t="s">
        <v>423</v>
      </c>
      <c r="AJ148" s="13" t="s">
        <v>423</v>
      </c>
      <c r="AK148" s="13" t="s">
        <v>140</v>
      </c>
      <c r="AL148" s="13">
        <v>0</v>
      </c>
      <c r="AM148" s="13">
        <v>1.16</v>
      </c>
      <c r="AN148" s="13">
        <v>1.16</v>
      </c>
      <c r="AO148" s="13">
        <v>8.65</v>
      </c>
      <c r="AP148" s="13">
        <v>38</v>
      </c>
      <c r="AQ148" s="13">
        <v>74</v>
      </c>
      <c r="AR148" s="13">
        <v>321.8</v>
      </c>
      <c r="AS148" s="13">
        <v>25</v>
      </c>
      <c r="AT148" s="13">
        <v>0</v>
      </c>
      <c r="AU148" s="13">
        <v>47</v>
      </c>
      <c r="AV148" s="13">
        <v>10</v>
      </c>
      <c r="AW148" s="13">
        <v>30</v>
      </c>
      <c r="AX148" s="13">
        <v>0</v>
      </c>
      <c r="AY148" s="13">
        <v>74</v>
      </c>
      <c r="AZ148" s="13">
        <v>218</v>
      </c>
      <c r="BA148" s="13">
        <v>25</v>
      </c>
      <c r="BB148" s="13" t="s"/>
      <c r="BC148" s="13" t="s"/>
      <c r="BD148" s="1">
        <f>=IF(IF(BC148&lt;&gt;"",IF(BB148&lt;&gt;"",CEILING(((BB148-BC148)/BB148)*100,1),IF(AND(O148&lt;&gt;"",O148&gt;0),CEILING((((O148-BC148)/O148)*100),1),"")),"")&gt;=0,IF(BC148&lt;&gt;"",IF(BB148&lt;&gt;"",CEILING(((BB148-BC148)/BB148)*100,1),IF(AND(O148&lt;&gt;"",O148&gt;0),CEILING((((O148-BC148)/O148)*100),1),"")),""), "Ошибка: цена до скидки должна быть больше текущей.")</f>
      </c>
      <c r="BE148" s="13" t="s"/>
      <c r="BF148" s="13" t="s"/>
      <c r="BG148" s="13" t="s"/>
      <c r="BH148" s="13" t="s"/>
      <c r="BI148" s="13" t="s"/>
      <c r="BJ148" s="13" t="s"/>
      <c r="BK148" s="13" t="s"/>
    </row>
    <row r="149" ht="20" customHeight="true">
      <c r="A149" s="13" t="s">
        <v>579</v>
      </c>
      <c r="B149" s="13">
        <v>3832458661</v>
      </c>
      <c r="C149" s="13" t="s">
        <v>512</v>
      </c>
      <c r="D149" s="13" t="s">
        <v>129</v>
      </c>
      <c r="E149" s="13" t="s">
        <v>130</v>
      </c>
      <c r="F149" s="13">
        <v>1</v>
      </c>
      <c r="G149" s="13">
        <v>0</v>
      </c>
      <c r="H149" s="13">
        <v>17.544</v>
      </c>
      <c r="I149" s="13">
        <v>3.5</v>
      </c>
      <c r="J149" s="13" t="s">
        <v>580</v>
      </c>
      <c r="K149" s="13">
        <v>0</v>
      </c>
      <c r="L149" s="13">
        <v>59</v>
      </c>
      <c r="M149" s="13">
        <v>0</v>
      </c>
      <c r="N149" s="13">
        <v>0</v>
      </c>
      <c r="O149" s="13">
        <v>9900</v>
      </c>
      <c r="P149" s="13">
        <v>5817</v>
      </c>
      <c r="Q149" s="13">
        <v>42</v>
      </c>
      <c r="R149" s="13">
        <v>4083</v>
      </c>
      <c r="S149" s="13">
        <v>3430</v>
      </c>
      <c r="T149" s="13">
        <v>79</v>
      </c>
      <c r="U149" s="13">
        <v>7724</v>
      </c>
      <c r="V149" s="13" t="s">
        <v>132</v>
      </c>
      <c r="W149" s="13">
        <v>2909</v>
      </c>
      <c r="X149" s="13" t="s">
        <v>138</v>
      </c>
      <c r="Y149" s="13" t="s">
        <v>147</v>
      </c>
      <c r="Z149" s="13" t="s"/>
      <c r="AA149" s="13" t="s">
        <v>514</v>
      </c>
      <c r="AB149" s="13" t="s">
        <v>581</v>
      </c>
      <c r="AC149" s="13" t="s">
        <v>582</v>
      </c>
      <c r="AD149" s="13" t="s">
        <v>138</v>
      </c>
      <c r="AE149" s="13" t="s">
        <v>138</v>
      </c>
      <c r="AF149" s="13">
        <v>0</v>
      </c>
      <c r="AG149" s="13">
        <v>2804</v>
      </c>
      <c r="AH149" s="13">
        <v>2804</v>
      </c>
      <c r="AI149" s="13" t="s">
        <v>531</v>
      </c>
      <c r="AJ149" s="13" t="s">
        <v>531</v>
      </c>
      <c r="AK149" s="13" t="s">
        <v>327</v>
      </c>
      <c r="AL149" s="13">
        <v>0</v>
      </c>
      <c r="AM149" s="13">
        <v>0.71</v>
      </c>
      <c r="AN149" s="13">
        <v>0.71</v>
      </c>
      <c r="AO149" s="13">
        <v>34.3</v>
      </c>
      <c r="AP149" s="13">
        <v>46</v>
      </c>
      <c r="AQ149" s="13">
        <v>131</v>
      </c>
      <c r="AR149" s="13">
        <v>1032.6</v>
      </c>
      <c r="AS149" s="13">
        <v>25</v>
      </c>
      <c r="AT149" s="13">
        <v>0</v>
      </c>
      <c r="AU149" s="13">
        <v>52</v>
      </c>
      <c r="AV149" s="13">
        <v>10</v>
      </c>
      <c r="AW149" s="13">
        <v>30</v>
      </c>
      <c r="AX149" s="13">
        <v>0</v>
      </c>
      <c r="AY149" s="13">
        <v>131</v>
      </c>
      <c r="AZ149" s="13">
        <v>621</v>
      </c>
      <c r="BA149" s="13">
        <v>25</v>
      </c>
      <c r="BB149" s="13" t="s"/>
      <c r="BC149" s="13" t="s"/>
      <c r="BD149" s="1">
        <f>=IF(IF(BC149&lt;&gt;"",IF(BB149&lt;&gt;"",CEILING(((BB149-BC149)/BB149)*100,1),IF(AND(O149&lt;&gt;"",O149&gt;0),CEILING((((O149-BC149)/O149)*100),1),"")),"")&gt;=0,IF(BC149&lt;&gt;"",IF(BB149&lt;&gt;"",CEILING(((BB149-BC149)/BB149)*100,1),IF(AND(O149&lt;&gt;"",O149&gt;0),CEILING((((O149-BC149)/O149)*100),1),"")),""), "Ошибка: цена до скидки должна быть больше текущей.")</f>
      </c>
      <c r="BE149" s="13" t="s"/>
      <c r="BF149" s="13" t="s"/>
      <c r="BG149" s="13" t="s"/>
      <c r="BH149" s="13" t="s"/>
      <c r="BI149" s="13" t="s"/>
      <c r="BJ149" s="13" t="s"/>
      <c r="BK149" s="13" t="s"/>
    </row>
    <row r="150" ht="20" customHeight="true">
      <c r="A150" s="13" t="s">
        <v>583</v>
      </c>
      <c r="B150" s="13">
        <v>3832458387</v>
      </c>
      <c r="C150" s="13" t="s">
        <v>512</v>
      </c>
      <c r="D150" s="13" t="s">
        <v>129</v>
      </c>
      <c r="E150" s="13" t="s">
        <v>130</v>
      </c>
      <c r="F150" s="13">
        <v>0</v>
      </c>
      <c r="G150" s="13">
        <v>1</v>
      </c>
      <c r="H150" s="13">
        <v>17.544</v>
      </c>
      <c r="I150" s="13">
        <v>3.5</v>
      </c>
      <c r="J150" s="13" t="s">
        <v>584</v>
      </c>
      <c r="K150" s="13">
        <v>0</v>
      </c>
      <c r="L150" s="13">
        <v>127</v>
      </c>
      <c r="M150" s="13">
        <v>0</v>
      </c>
      <c r="N150" s="13">
        <v>0</v>
      </c>
      <c r="O150" s="13">
        <v>9900</v>
      </c>
      <c r="P150" s="13">
        <v>5900</v>
      </c>
      <c r="Q150" s="13">
        <v>41</v>
      </c>
      <c r="R150" s="13">
        <v>4000</v>
      </c>
      <c r="S150" s="13">
        <v>5900</v>
      </c>
      <c r="T150" s="13">
        <v>71</v>
      </c>
      <c r="U150" s="13">
        <v>7001</v>
      </c>
      <c r="V150" s="13" t="s">
        <v>132</v>
      </c>
      <c r="W150" s="13">
        <v>2950</v>
      </c>
      <c r="X150" s="13" t="s">
        <v>133</v>
      </c>
      <c r="Y150" s="13" t="s">
        <v>134</v>
      </c>
      <c r="Z150" s="13" t="s"/>
      <c r="AA150" s="13" t="s">
        <v>514</v>
      </c>
      <c r="AB150" s="13" t="s">
        <v>515</v>
      </c>
      <c r="AC150" s="13" t="s">
        <v>516</v>
      </c>
      <c r="AD150" s="13" t="s">
        <v>138</v>
      </c>
      <c r="AE150" s="13" t="s">
        <v>138</v>
      </c>
      <c r="AF150" s="13">
        <v>0</v>
      </c>
      <c r="AG150" s="13">
        <v>3605</v>
      </c>
      <c r="AH150" s="13">
        <v>3605</v>
      </c>
      <c r="AI150" s="13" t="s">
        <v>517</v>
      </c>
      <c r="AJ150" s="13" t="s">
        <v>517</v>
      </c>
      <c r="AK150" s="13" t="s">
        <v>327</v>
      </c>
      <c r="AL150" s="13">
        <v>0</v>
      </c>
      <c r="AM150" s="13">
        <v>0.74</v>
      </c>
      <c r="AN150" s="13">
        <v>0.74</v>
      </c>
      <c r="AO150" s="13">
        <v>59</v>
      </c>
      <c r="AP150" s="13">
        <v>47</v>
      </c>
      <c r="AQ150" s="13">
        <v>131</v>
      </c>
      <c r="AR150" s="13">
        <v>1329</v>
      </c>
      <c r="AS150" s="13">
        <v>25</v>
      </c>
      <c r="AT150" s="13">
        <v>0</v>
      </c>
      <c r="AU150" s="13">
        <v>53</v>
      </c>
      <c r="AV150" s="13">
        <v>10</v>
      </c>
      <c r="AW150" s="13">
        <v>30</v>
      </c>
      <c r="AX150" s="13">
        <v>0</v>
      </c>
      <c r="AY150" s="13">
        <v>131</v>
      </c>
      <c r="AZ150" s="13">
        <v>621</v>
      </c>
      <c r="BA150" s="13">
        <v>25</v>
      </c>
      <c r="BB150" s="13" t="s"/>
      <c r="BC150" s="13" t="s"/>
      <c r="BD150" s="1">
        <f>=IF(IF(BC150&lt;&gt;"",IF(BB150&lt;&gt;"",CEILING(((BB150-BC150)/BB150)*100,1),IF(AND(O150&lt;&gt;"",O150&gt;0),CEILING((((O150-BC150)/O150)*100),1),"")),"")&gt;=0,IF(BC150&lt;&gt;"",IF(BB150&lt;&gt;"",CEILING(((BB150-BC150)/BB150)*100,1),IF(AND(O150&lt;&gt;"",O150&gt;0),CEILING((((O150-BC150)/O150)*100),1),"")),""), "Ошибка: цена до скидки должна быть больше текущей.")</f>
      </c>
      <c r="BE150" s="13" t="s"/>
      <c r="BF150" s="13" t="s"/>
      <c r="BG150" s="13" t="s"/>
      <c r="BH150" s="13" t="s"/>
      <c r="BI150" s="13" t="s"/>
      <c r="BJ150" s="13" t="s"/>
      <c r="BK150" s="13" t="s"/>
    </row>
    <row r="151" ht="20" customHeight="true">
      <c r="A151" s="13" t="s">
        <v>585</v>
      </c>
      <c r="B151" s="13">
        <v>3832458422</v>
      </c>
      <c r="C151" s="13" t="s">
        <v>512</v>
      </c>
      <c r="D151" s="13" t="s">
        <v>129</v>
      </c>
      <c r="E151" s="13" t="s">
        <v>130</v>
      </c>
      <c r="F151" s="13">
        <v>1</v>
      </c>
      <c r="G151" s="13">
        <v>0</v>
      </c>
      <c r="H151" s="13">
        <v>17.544</v>
      </c>
      <c r="I151" s="13">
        <v>3.5</v>
      </c>
      <c r="J151" s="13" t="s">
        <v>586</v>
      </c>
      <c r="K151" s="13">
        <v>0</v>
      </c>
      <c r="L151" s="13">
        <v>109</v>
      </c>
      <c r="M151" s="13">
        <v>0</v>
      </c>
      <c r="N151" s="13">
        <v>0</v>
      </c>
      <c r="O151" s="13">
        <v>9900</v>
      </c>
      <c r="P151" s="13">
        <v>5819</v>
      </c>
      <c r="Q151" s="13">
        <v>42</v>
      </c>
      <c r="R151" s="13">
        <v>4081</v>
      </c>
      <c r="S151" s="13">
        <v>5819</v>
      </c>
      <c r="T151" s="13">
        <v>69</v>
      </c>
      <c r="U151" s="13">
        <v>6775</v>
      </c>
      <c r="V151" s="13" t="s">
        <v>132</v>
      </c>
      <c r="W151" s="13">
        <v>2910</v>
      </c>
      <c r="X151" s="13" t="s">
        <v>133</v>
      </c>
      <c r="Y151" s="13" t="s">
        <v>134</v>
      </c>
      <c r="Z151" s="13" t="s"/>
      <c r="AA151" s="13" t="s">
        <v>514</v>
      </c>
      <c r="AB151" s="13" t="s"/>
      <c r="AC151" s="13" t="s">
        <v>516</v>
      </c>
      <c r="AD151" s="13" t="s">
        <v>138</v>
      </c>
      <c r="AE151" s="13" t="s">
        <v>138</v>
      </c>
      <c r="AF151" s="13">
        <v>0</v>
      </c>
      <c r="AG151" s="13">
        <v>2804</v>
      </c>
      <c r="AH151" s="13">
        <v>2804</v>
      </c>
      <c r="AI151" s="13" t="s">
        <v>531</v>
      </c>
      <c r="AJ151" s="13" t="s">
        <v>531</v>
      </c>
      <c r="AK151" s="13" t="s">
        <v>532</v>
      </c>
      <c r="AL151" s="13">
        <v>0</v>
      </c>
      <c r="AM151" s="13">
        <v>1.02</v>
      </c>
      <c r="AN151" s="13">
        <v>1.02</v>
      </c>
      <c r="AO151" s="13">
        <v>58.19</v>
      </c>
      <c r="AP151" s="13">
        <v>47</v>
      </c>
      <c r="AQ151" s="13">
        <v>131</v>
      </c>
      <c r="AR151" s="13">
        <v>1319.28</v>
      </c>
      <c r="AS151" s="13">
        <v>25</v>
      </c>
      <c r="AT151" s="13">
        <v>0</v>
      </c>
      <c r="AU151" s="13">
        <v>53</v>
      </c>
      <c r="AV151" s="13">
        <v>10</v>
      </c>
      <c r="AW151" s="13">
        <v>30</v>
      </c>
      <c r="AX151" s="13">
        <v>0</v>
      </c>
      <c r="AY151" s="13">
        <v>131</v>
      </c>
      <c r="AZ151" s="13">
        <v>621</v>
      </c>
      <c r="BA151" s="13">
        <v>25</v>
      </c>
      <c r="BB151" s="13" t="s"/>
      <c r="BC151" s="13" t="s"/>
      <c r="BD151" s="1">
        <f>=IF(IF(BC151&lt;&gt;"",IF(BB151&lt;&gt;"",CEILING(((BB151-BC151)/BB151)*100,1),IF(AND(O151&lt;&gt;"",O151&gt;0),CEILING((((O151-BC151)/O151)*100),1),"")),"")&gt;=0,IF(BC151&lt;&gt;"",IF(BB151&lt;&gt;"",CEILING(((BB151-BC151)/BB151)*100,1),IF(AND(O151&lt;&gt;"",O151&gt;0),CEILING((((O151-BC151)/O151)*100),1),"")),""), "Ошибка: цена до скидки должна быть больше текущей.")</f>
      </c>
      <c r="BE151" s="13" t="s"/>
      <c r="BF151" s="13" t="s"/>
      <c r="BG151" s="13" t="s"/>
      <c r="BH151" s="13" t="s"/>
      <c r="BI151" s="13" t="s"/>
      <c r="BJ151" s="13" t="s"/>
      <c r="BK151" s="13" t="s"/>
    </row>
    <row r="152" ht="20" customHeight="true">
      <c r="A152" s="13" t="s">
        <v>587</v>
      </c>
      <c r="B152" s="13">
        <v>3832457518</v>
      </c>
      <c r="C152" s="13" t="s">
        <v>512</v>
      </c>
      <c r="D152" s="13" t="s">
        <v>431</v>
      </c>
      <c r="E152" s="13" t="s">
        <v>130</v>
      </c>
      <c r="F152" s="13">
        <v>0</v>
      </c>
      <c r="G152" s="13">
        <v>0</v>
      </c>
      <c r="H152" s="13">
        <v>17.544</v>
      </c>
      <c r="I152" s="13">
        <v>3.5</v>
      </c>
      <c r="J152" s="13" t="s">
        <v>588</v>
      </c>
      <c r="K152" s="13">
        <v>5900</v>
      </c>
      <c r="L152" s="13">
        <v>101</v>
      </c>
      <c r="M152" s="13">
        <v>0.99</v>
      </c>
      <c r="N152" s="13">
        <v>1</v>
      </c>
      <c r="O152" s="13">
        <v>9900</v>
      </c>
      <c r="P152" s="13">
        <v>5900</v>
      </c>
      <c r="Q152" s="13">
        <v>41</v>
      </c>
      <c r="R152" s="13">
        <v>4000</v>
      </c>
      <c r="S152" s="13">
        <v>5900</v>
      </c>
      <c r="T152" s="13">
        <v>71</v>
      </c>
      <c r="U152" s="13">
        <v>7001</v>
      </c>
      <c r="V152" s="13" t="s">
        <v>132</v>
      </c>
      <c r="W152" s="13">
        <v>2950</v>
      </c>
      <c r="X152" s="13" t="s">
        <v>133</v>
      </c>
      <c r="Y152" s="13" t="s">
        <v>134</v>
      </c>
      <c r="Z152" s="13" t="s"/>
      <c r="AA152" s="13" t="s">
        <v>514</v>
      </c>
      <c r="AB152" s="13" t="s">
        <v>515</v>
      </c>
      <c r="AC152" s="13" t="s">
        <v>516</v>
      </c>
      <c r="AD152" s="13" t="s">
        <v>138</v>
      </c>
      <c r="AE152" s="13" t="s">
        <v>138</v>
      </c>
      <c r="AF152" s="13">
        <v>0</v>
      </c>
      <c r="AG152" s="13">
        <v>3605</v>
      </c>
      <c r="AH152" s="13">
        <v>3605</v>
      </c>
      <c r="AI152" s="13" t="s">
        <v>517</v>
      </c>
      <c r="AJ152" s="13" t="s">
        <v>517</v>
      </c>
      <c r="AK152" s="13" t="s">
        <v>327</v>
      </c>
      <c r="AL152" s="13">
        <v>0</v>
      </c>
      <c r="AM152" s="13">
        <v>0.74</v>
      </c>
      <c r="AN152" s="13">
        <v>0.74</v>
      </c>
      <c r="AO152" s="13">
        <v>59</v>
      </c>
      <c r="AP152" s="13">
        <v>47</v>
      </c>
      <c r="AQ152" s="13">
        <v>131</v>
      </c>
      <c r="AR152" s="13">
        <v>1329</v>
      </c>
      <c r="AS152" s="13">
        <v>25</v>
      </c>
      <c r="AT152" s="13">
        <v>0</v>
      </c>
      <c r="AU152" s="13">
        <v>53</v>
      </c>
      <c r="AV152" s="13">
        <v>10</v>
      </c>
      <c r="AW152" s="13">
        <v>30</v>
      </c>
      <c r="AX152" s="13">
        <v>0</v>
      </c>
      <c r="AY152" s="13">
        <v>131</v>
      </c>
      <c r="AZ152" s="13">
        <v>621</v>
      </c>
      <c r="BA152" s="13">
        <v>25</v>
      </c>
      <c r="BB152" s="13" t="s"/>
      <c r="BC152" s="13" t="s"/>
      <c r="BD152" s="1">
        <f>=IF(IF(BC152&lt;&gt;"",IF(BB152&lt;&gt;"",CEILING(((BB152-BC152)/BB152)*100,1),IF(AND(O152&lt;&gt;"",O152&gt;0),CEILING((((O152-BC152)/O152)*100),1),"")),"")&gt;=0,IF(BC152&lt;&gt;"",IF(BB152&lt;&gt;"",CEILING(((BB152-BC152)/BB152)*100,1),IF(AND(O152&lt;&gt;"",O152&gt;0),CEILING((((O152-BC152)/O152)*100),1),"")),""), "Ошибка: цена до скидки должна быть больше текущей.")</f>
      </c>
      <c r="BE152" s="13" t="s"/>
      <c r="BF152" s="13" t="s"/>
      <c r="BG152" s="13" t="s"/>
      <c r="BH152" s="13" t="s"/>
      <c r="BI152" s="13" t="s"/>
      <c r="BJ152" s="13" t="s"/>
      <c r="BK152" s="13" t="s"/>
    </row>
  </sheetData>
  <mergeCells count="10">
    <mergeCell ref="A1:J1"/>
    <mergeCell ref="K1:N1"/>
    <mergeCell ref="O1:AE1"/>
    <mergeCell ref="AF1:AJ1"/>
    <mergeCell ref="AK1:AN1"/>
    <mergeCell ref="AO1:BA1"/>
    <mergeCell ref="BB1:BH1"/>
    <mergeCell ref="BI1:BK1"/>
    <mergeCell ref="Q4:R4"/>
    <mergeCell ref="T4:U4"/>
  </mergeCells>
  <dataValidations count="740">
    <dataValidation type="list" sqref="BE5">
      <formula1>",Не облагается,10,22"</formula1>
    </dataValidation>
    <dataValidation type="list" sqref="BG5">
      <formula1>",НЕТ,ДА"</formula1>
    </dataValidation>
    <dataValidation type="list" sqref="BI5">
      <formula1>",НЕТ,ДА"</formula1>
    </dataValidation>
    <dataValidation type="list" sqref="BJ5">
      <formula1>",НЕТ,ДА"</formula1>
    </dataValidation>
    <dataValidation type="list" sqref="BK5">
      <formula1>",НЕТ,ДА"</formula1>
    </dataValidation>
    <dataValidation type="list" sqref="BE6">
      <formula1>",Не облагается,10,22"</formula1>
    </dataValidation>
    <dataValidation type="list" sqref="BG6">
      <formula1>",НЕТ,ДА"</formula1>
    </dataValidation>
    <dataValidation type="list" sqref="BI6">
      <formula1>",НЕТ,ДА"</formula1>
    </dataValidation>
    <dataValidation type="list" sqref="BJ6">
      <formula1>",НЕТ,ДА"</formula1>
    </dataValidation>
    <dataValidation type="list" sqref="BK6">
      <formula1>",НЕТ,ДА"</formula1>
    </dataValidation>
    <dataValidation type="list" sqref="BE7">
      <formula1>",Не облагается,10,22"</formula1>
    </dataValidation>
    <dataValidation type="list" sqref="BG7">
      <formula1>",НЕТ,ДА"</formula1>
    </dataValidation>
    <dataValidation type="list" sqref="BI7">
      <formula1>",НЕТ,ДА"</formula1>
    </dataValidation>
    <dataValidation type="list" sqref="BJ7">
      <formula1>",НЕТ,ДА"</formula1>
    </dataValidation>
    <dataValidation type="list" sqref="BK7">
      <formula1>",НЕТ,ДА"</formula1>
    </dataValidation>
    <dataValidation type="list" sqref="BE8">
      <formula1>",Не облагается,10,22"</formula1>
    </dataValidation>
    <dataValidation type="list" sqref="BG8">
      <formula1>",НЕТ,ДА"</formula1>
    </dataValidation>
    <dataValidation type="list" sqref="BI8">
      <formula1>",НЕТ,ДА"</formula1>
    </dataValidation>
    <dataValidation type="list" sqref="BJ8">
      <formula1>",НЕТ,ДА"</formula1>
    </dataValidation>
    <dataValidation type="list" sqref="BK8">
      <formula1>",НЕТ,ДА"</formula1>
    </dataValidation>
    <dataValidation type="list" sqref="BE9">
      <formula1>",Не облагается,10,22"</formula1>
    </dataValidation>
    <dataValidation type="list" sqref="BG9">
      <formula1>",НЕТ,ДА"</formula1>
    </dataValidation>
    <dataValidation type="list" sqref="BI9">
      <formula1>",НЕТ,ДА"</formula1>
    </dataValidation>
    <dataValidation type="list" sqref="BJ9">
      <formula1>",НЕТ,ДА"</formula1>
    </dataValidation>
    <dataValidation type="list" sqref="BK9">
      <formula1>",НЕТ,ДА"</formula1>
    </dataValidation>
    <dataValidation type="list" sqref="BE10">
      <formula1>",Не облагается,10,22"</formula1>
    </dataValidation>
    <dataValidation type="list" sqref="BG10">
      <formula1>",НЕТ,ДА"</formula1>
    </dataValidation>
    <dataValidation type="list" sqref="BI10">
      <formula1>",НЕТ,ДА"</formula1>
    </dataValidation>
    <dataValidation type="list" sqref="BJ10">
      <formula1>",НЕТ,ДА"</formula1>
    </dataValidation>
    <dataValidation type="list" sqref="BK10">
      <formula1>",НЕТ,ДА"</formula1>
    </dataValidation>
    <dataValidation type="list" sqref="BE11">
      <formula1>",Не облагается,10,22"</formula1>
    </dataValidation>
    <dataValidation type="list" sqref="BG11">
      <formula1>",НЕТ,ДА"</formula1>
    </dataValidation>
    <dataValidation type="list" sqref="BI11">
      <formula1>",НЕТ,ДА"</formula1>
    </dataValidation>
    <dataValidation type="list" sqref="BJ11">
      <formula1>",НЕТ,ДА"</formula1>
    </dataValidation>
    <dataValidation type="list" sqref="BK11">
      <formula1>",НЕТ,ДА"</formula1>
    </dataValidation>
    <dataValidation type="list" sqref="BE12">
      <formula1>",Не облагается,10,22"</formula1>
    </dataValidation>
    <dataValidation type="list" sqref="BG12">
      <formula1>",НЕТ,ДА"</formula1>
    </dataValidation>
    <dataValidation type="list" sqref="BI12">
      <formula1>",НЕТ,ДА"</formula1>
    </dataValidation>
    <dataValidation type="list" sqref="BJ12">
      <formula1>",НЕТ,ДА"</formula1>
    </dataValidation>
    <dataValidation type="list" sqref="BK12">
      <formula1>",НЕТ,ДА"</formula1>
    </dataValidation>
    <dataValidation type="list" sqref="BE13">
      <formula1>",Не облагается,10,22"</formula1>
    </dataValidation>
    <dataValidation type="list" sqref="BG13">
      <formula1>",НЕТ,ДА"</formula1>
    </dataValidation>
    <dataValidation type="list" sqref="BI13">
      <formula1>",НЕТ,ДА"</formula1>
    </dataValidation>
    <dataValidation type="list" sqref="BJ13">
      <formula1>",НЕТ,ДА"</formula1>
    </dataValidation>
    <dataValidation type="list" sqref="BK13">
      <formula1>",НЕТ,ДА"</formula1>
    </dataValidation>
    <dataValidation type="list" sqref="BE14">
      <formula1>",Не облагается,10,22"</formula1>
    </dataValidation>
    <dataValidation type="list" sqref="BG14">
      <formula1>",НЕТ,ДА"</formula1>
    </dataValidation>
    <dataValidation type="list" sqref="BI14">
      <formula1>",НЕТ,ДА"</formula1>
    </dataValidation>
    <dataValidation type="list" sqref="BJ14">
      <formula1>",НЕТ,ДА"</formula1>
    </dataValidation>
    <dataValidation type="list" sqref="BK14">
      <formula1>",НЕТ,ДА"</formula1>
    </dataValidation>
    <dataValidation type="list" sqref="BE15">
      <formula1>",Не облагается,10,22"</formula1>
    </dataValidation>
    <dataValidation type="list" sqref="BG15">
      <formula1>",НЕТ,ДА"</formula1>
    </dataValidation>
    <dataValidation type="list" sqref="BI15">
      <formula1>",НЕТ,ДА"</formula1>
    </dataValidation>
    <dataValidation type="list" sqref="BJ15">
      <formula1>",НЕТ,ДА"</formula1>
    </dataValidation>
    <dataValidation type="list" sqref="BK15">
      <formula1>",НЕТ,ДА"</formula1>
    </dataValidation>
    <dataValidation type="list" sqref="BE16">
      <formula1>",Не облагается,10,22"</formula1>
    </dataValidation>
    <dataValidation type="list" sqref="BG16">
      <formula1>",НЕТ,ДА"</formula1>
    </dataValidation>
    <dataValidation type="list" sqref="BI16">
      <formula1>",НЕТ,ДА"</formula1>
    </dataValidation>
    <dataValidation type="list" sqref="BJ16">
      <formula1>",НЕТ,ДА"</formula1>
    </dataValidation>
    <dataValidation type="list" sqref="BK16">
      <formula1>",НЕТ,ДА"</formula1>
    </dataValidation>
    <dataValidation type="list" sqref="BE17">
      <formula1>",Не облагается,10,22"</formula1>
    </dataValidation>
    <dataValidation type="list" sqref="BG17">
      <formula1>",НЕТ,ДА"</formula1>
    </dataValidation>
    <dataValidation type="list" sqref="BI17">
      <formula1>",НЕТ,ДА"</formula1>
    </dataValidation>
    <dataValidation type="list" sqref="BJ17">
      <formula1>",НЕТ,ДА"</formula1>
    </dataValidation>
    <dataValidation type="list" sqref="BK17">
      <formula1>",НЕТ,ДА"</formula1>
    </dataValidation>
    <dataValidation type="list" sqref="BE18">
      <formula1>",Не облагается,10,22"</formula1>
    </dataValidation>
    <dataValidation type="list" sqref="BG18">
      <formula1>",НЕТ,ДА"</formula1>
    </dataValidation>
    <dataValidation type="list" sqref="BI18">
      <formula1>",НЕТ,ДА"</formula1>
    </dataValidation>
    <dataValidation type="list" sqref="BJ18">
      <formula1>",НЕТ,ДА"</formula1>
    </dataValidation>
    <dataValidation type="list" sqref="BK18">
      <formula1>",НЕТ,ДА"</formula1>
    </dataValidation>
    <dataValidation type="list" sqref="BE19">
      <formula1>",Не облагается,10,22"</formula1>
    </dataValidation>
    <dataValidation type="list" sqref="BG19">
      <formula1>",НЕТ,ДА"</formula1>
    </dataValidation>
    <dataValidation type="list" sqref="BI19">
      <formula1>",НЕТ,ДА"</formula1>
    </dataValidation>
    <dataValidation type="list" sqref="BJ19">
      <formula1>",НЕТ,ДА"</formula1>
    </dataValidation>
    <dataValidation type="list" sqref="BK19">
      <formula1>",НЕТ,ДА"</formula1>
    </dataValidation>
    <dataValidation type="list" sqref="BE20">
      <formula1>",Не облагается,10,22"</formula1>
    </dataValidation>
    <dataValidation type="list" sqref="BG20">
      <formula1>",НЕТ,ДА"</formula1>
    </dataValidation>
    <dataValidation type="list" sqref="BI20">
      <formula1>",НЕТ,ДА"</formula1>
    </dataValidation>
    <dataValidation type="list" sqref="BJ20">
      <formula1>",НЕТ,ДА"</formula1>
    </dataValidation>
    <dataValidation type="list" sqref="BK20">
      <formula1>",НЕТ,ДА"</formula1>
    </dataValidation>
    <dataValidation type="list" sqref="BE21">
      <formula1>",Не облагается,10,22"</formula1>
    </dataValidation>
    <dataValidation type="list" sqref="BG21">
      <formula1>",НЕТ,ДА"</formula1>
    </dataValidation>
    <dataValidation type="list" sqref="BI21">
      <formula1>",НЕТ,ДА"</formula1>
    </dataValidation>
    <dataValidation type="list" sqref="BJ21">
      <formula1>",НЕТ,ДА"</formula1>
    </dataValidation>
    <dataValidation type="list" sqref="BK21">
      <formula1>",НЕТ,ДА"</formula1>
    </dataValidation>
    <dataValidation type="list" sqref="BE22">
      <formula1>",Не облагается,10,22"</formula1>
    </dataValidation>
    <dataValidation type="list" sqref="BG22">
      <formula1>",НЕТ,ДА"</formula1>
    </dataValidation>
    <dataValidation type="list" sqref="BI22">
      <formula1>",НЕТ,ДА"</formula1>
    </dataValidation>
    <dataValidation type="list" sqref="BJ22">
      <formula1>",НЕТ,ДА"</formula1>
    </dataValidation>
    <dataValidation type="list" sqref="BK22">
      <formula1>",НЕТ,ДА"</formula1>
    </dataValidation>
    <dataValidation type="list" sqref="BE23">
      <formula1>",Не облагается,10,22"</formula1>
    </dataValidation>
    <dataValidation type="list" sqref="BG23">
      <formula1>",НЕТ,ДА"</formula1>
    </dataValidation>
    <dataValidation type="list" sqref="BI23">
      <formula1>",НЕТ,ДА"</formula1>
    </dataValidation>
    <dataValidation type="list" sqref="BJ23">
      <formula1>",НЕТ,ДА"</formula1>
    </dataValidation>
    <dataValidation type="list" sqref="BK23">
      <formula1>",НЕТ,ДА"</formula1>
    </dataValidation>
    <dataValidation type="list" sqref="BE24">
      <formula1>",Не облагается,10,22"</formula1>
    </dataValidation>
    <dataValidation type="list" sqref="BG24">
      <formula1>",НЕТ,ДА"</formula1>
    </dataValidation>
    <dataValidation type="list" sqref="BI24">
      <formula1>",НЕТ,ДА"</formula1>
    </dataValidation>
    <dataValidation type="list" sqref="BJ24">
      <formula1>",НЕТ,ДА"</formula1>
    </dataValidation>
    <dataValidation type="list" sqref="BK24">
      <formula1>",НЕТ,ДА"</formula1>
    </dataValidation>
    <dataValidation type="list" sqref="BE25">
      <formula1>",Не облагается,10,22"</formula1>
    </dataValidation>
    <dataValidation type="list" sqref="BG25">
      <formula1>",НЕТ,ДА"</formula1>
    </dataValidation>
    <dataValidation type="list" sqref="BI25">
      <formula1>",НЕТ,ДА"</formula1>
    </dataValidation>
    <dataValidation type="list" sqref="BJ25">
      <formula1>",НЕТ,ДА"</formula1>
    </dataValidation>
    <dataValidation type="list" sqref="BK25">
      <formula1>",НЕТ,ДА"</formula1>
    </dataValidation>
    <dataValidation type="list" sqref="BE26">
      <formula1>",Не облагается,10,22"</formula1>
    </dataValidation>
    <dataValidation type="list" sqref="BG26">
      <formula1>",НЕТ,ДА"</formula1>
    </dataValidation>
    <dataValidation type="list" sqref="BI26">
      <formula1>",НЕТ,ДА"</formula1>
    </dataValidation>
    <dataValidation type="list" sqref="BJ26">
      <formula1>",НЕТ,ДА"</formula1>
    </dataValidation>
    <dataValidation type="list" sqref="BK26">
      <formula1>",НЕТ,ДА"</formula1>
    </dataValidation>
    <dataValidation type="list" sqref="BE27">
      <formula1>",Не облагается,10,22"</formula1>
    </dataValidation>
    <dataValidation type="list" sqref="BG27">
      <formula1>",НЕТ,ДА"</formula1>
    </dataValidation>
    <dataValidation type="list" sqref="BI27">
      <formula1>",НЕТ,ДА"</formula1>
    </dataValidation>
    <dataValidation type="list" sqref="BJ27">
      <formula1>",НЕТ,ДА"</formula1>
    </dataValidation>
    <dataValidation type="list" sqref="BK27">
      <formula1>",НЕТ,ДА"</formula1>
    </dataValidation>
    <dataValidation type="list" sqref="BE28">
      <formula1>",Не облагается,10,22"</formula1>
    </dataValidation>
    <dataValidation type="list" sqref="BG28">
      <formula1>",НЕТ,ДА"</formula1>
    </dataValidation>
    <dataValidation type="list" sqref="BI28">
      <formula1>",НЕТ,ДА"</formula1>
    </dataValidation>
    <dataValidation type="list" sqref="BJ28">
      <formula1>",НЕТ,ДА"</formula1>
    </dataValidation>
    <dataValidation type="list" sqref="BK28">
      <formula1>",НЕТ,ДА"</formula1>
    </dataValidation>
    <dataValidation type="list" sqref="BE29">
      <formula1>",Не облагается,10,22"</formula1>
    </dataValidation>
    <dataValidation type="list" sqref="BG29">
      <formula1>",НЕТ,ДА"</formula1>
    </dataValidation>
    <dataValidation type="list" sqref="BI29">
      <formula1>",НЕТ,ДА"</formula1>
    </dataValidation>
    <dataValidation type="list" sqref="BJ29">
      <formula1>",НЕТ,ДА"</formula1>
    </dataValidation>
    <dataValidation type="list" sqref="BK29">
      <formula1>",НЕТ,ДА"</formula1>
    </dataValidation>
    <dataValidation type="list" sqref="BE30">
      <formula1>",Не облагается,10,22"</formula1>
    </dataValidation>
    <dataValidation type="list" sqref="BG30">
      <formula1>",НЕТ,ДА"</formula1>
    </dataValidation>
    <dataValidation type="list" sqref="BI30">
      <formula1>",НЕТ,ДА"</formula1>
    </dataValidation>
    <dataValidation type="list" sqref="BJ30">
      <formula1>",НЕТ,ДА"</formula1>
    </dataValidation>
    <dataValidation type="list" sqref="BK30">
      <formula1>",НЕТ,ДА"</formula1>
    </dataValidation>
    <dataValidation type="list" sqref="BE31">
      <formula1>",Не облагается,10,22"</formula1>
    </dataValidation>
    <dataValidation type="list" sqref="BG31">
      <formula1>",НЕТ,ДА"</formula1>
    </dataValidation>
    <dataValidation type="list" sqref="BI31">
      <formula1>",НЕТ,ДА"</formula1>
    </dataValidation>
    <dataValidation type="list" sqref="BJ31">
      <formula1>",НЕТ,ДА"</formula1>
    </dataValidation>
    <dataValidation type="list" sqref="BK31">
      <formula1>",НЕТ,ДА"</formula1>
    </dataValidation>
    <dataValidation type="list" sqref="BE32">
      <formula1>",Не облагается,10,22"</formula1>
    </dataValidation>
    <dataValidation type="list" sqref="BG32">
      <formula1>",НЕТ,ДА"</formula1>
    </dataValidation>
    <dataValidation type="list" sqref="BI32">
      <formula1>",НЕТ,ДА"</formula1>
    </dataValidation>
    <dataValidation type="list" sqref="BJ32">
      <formula1>",НЕТ,ДА"</formula1>
    </dataValidation>
    <dataValidation type="list" sqref="BK32">
      <formula1>",НЕТ,ДА"</formula1>
    </dataValidation>
    <dataValidation type="list" sqref="BE33">
      <formula1>",Не облагается,10,22"</formula1>
    </dataValidation>
    <dataValidation type="list" sqref="BG33">
      <formula1>",НЕТ,ДА"</formula1>
    </dataValidation>
    <dataValidation type="list" sqref="BI33">
      <formula1>",НЕТ,ДА"</formula1>
    </dataValidation>
    <dataValidation type="list" sqref="BJ33">
      <formula1>",НЕТ,ДА"</formula1>
    </dataValidation>
    <dataValidation type="list" sqref="BK33">
      <formula1>",НЕТ,ДА"</formula1>
    </dataValidation>
    <dataValidation type="list" sqref="BE34">
      <formula1>",Не облагается,10,22"</formula1>
    </dataValidation>
    <dataValidation type="list" sqref="BG34">
      <formula1>",НЕТ,ДА"</formula1>
    </dataValidation>
    <dataValidation type="list" sqref="BI34">
      <formula1>",НЕТ,ДА"</formula1>
    </dataValidation>
    <dataValidation type="list" sqref="BJ34">
      <formula1>",НЕТ,ДА"</formula1>
    </dataValidation>
    <dataValidation type="list" sqref="BK34">
      <formula1>",НЕТ,ДА"</formula1>
    </dataValidation>
    <dataValidation type="list" sqref="BE35">
      <formula1>",Не облагается,10,22"</formula1>
    </dataValidation>
    <dataValidation type="list" sqref="BG35">
      <formula1>",НЕТ,ДА"</formula1>
    </dataValidation>
    <dataValidation type="list" sqref="BI35">
      <formula1>",НЕТ,ДА"</formula1>
    </dataValidation>
    <dataValidation type="list" sqref="BJ35">
      <formula1>",НЕТ,ДА"</formula1>
    </dataValidation>
    <dataValidation type="list" sqref="BK35">
      <formula1>",НЕТ,ДА"</formula1>
    </dataValidation>
    <dataValidation type="list" sqref="BE36">
      <formula1>",Не облагается,10,22"</formula1>
    </dataValidation>
    <dataValidation type="list" sqref="BG36">
      <formula1>",НЕТ,ДА"</formula1>
    </dataValidation>
    <dataValidation type="list" sqref="BI36">
      <formula1>",НЕТ,ДА"</formula1>
    </dataValidation>
    <dataValidation type="list" sqref="BJ36">
      <formula1>",НЕТ,ДА"</formula1>
    </dataValidation>
    <dataValidation type="list" sqref="BK36">
      <formula1>",НЕТ,ДА"</formula1>
    </dataValidation>
    <dataValidation type="list" sqref="BE37">
      <formula1>",Не облагается,10,22"</formula1>
    </dataValidation>
    <dataValidation type="list" sqref="BG37">
      <formula1>",НЕТ,ДА"</formula1>
    </dataValidation>
    <dataValidation type="list" sqref="BI37">
      <formula1>",НЕТ,ДА"</formula1>
    </dataValidation>
    <dataValidation type="list" sqref="BJ37">
      <formula1>",НЕТ,ДА"</formula1>
    </dataValidation>
    <dataValidation type="list" sqref="BK37">
      <formula1>",НЕТ,ДА"</formula1>
    </dataValidation>
    <dataValidation type="list" sqref="BE38">
      <formula1>",Не облагается,10,22"</formula1>
    </dataValidation>
    <dataValidation type="list" sqref="BG38">
      <formula1>",НЕТ,ДА"</formula1>
    </dataValidation>
    <dataValidation type="list" sqref="BI38">
      <formula1>",НЕТ,ДА"</formula1>
    </dataValidation>
    <dataValidation type="list" sqref="BJ38">
      <formula1>",НЕТ,ДА"</formula1>
    </dataValidation>
    <dataValidation type="list" sqref="BK38">
      <formula1>",НЕТ,ДА"</formula1>
    </dataValidation>
    <dataValidation type="list" sqref="BE39">
      <formula1>",Не облагается,10,22"</formula1>
    </dataValidation>
    <dataValidation type="list" sqref="BG39">
      <formula1>",НЕТ,ДА"</formula1>
    </dataValidation>
    <dataValidation type="list" sqref="BI39">
      <formula1>",НЕТ,ДА"</formula1>
    </dataValidation>
    <dataValidation type="list" sqref="BJ39">
      <formula1>",НЕТ,ДА"</formula1>
    </dataValidation>
    <dataValidation type="list" sqref="BK39">
      <formula1>",НЕТ,ДА"</formula1>
    </dataValidation>
    <dataValidation type="list" sqref="BE40">
      <formula1>",Не облагается,10,22"</formula1>
    </dataValidation>
    <dataValidation type="list" sqref="BG40">
      <formula1>",НЕТ,ДА"</formula1>
    </dataValidation>
    <dataValidation type="list" sqref="BI40">
      <formula1>",НЕТ,ДА"</formula1>
    </dataValidation>
    <dataValidation type="list" sqref="BJ40">
      <formula1>",НЕТ,ДА"</formula1>
    </dataValidation>
    <dataValidation type="list" sqref="BK40">
      <formula1>",НЕТ,ДА"</formula1>
    </dataValidation>
    <dataValidation type="list" sqref="BE41">
      <formula1>",Не облагается,10,22"</formula1>
    </dataValidation>
    <dataValidation type="list" sqref="BG41">
      <formula1>",НЕТ,ДА"</formula1>
    </dataValidation>
    <dataValidation type="list" sqref="BI41">
      <formula1>",НЕТ,ДА"</formula1>
    </dataValidation>
    <dataValidation type="list" sqref="BJ41">
      <formula1>",НЕТ,ДА"</formula1>
    </dataValidation>
    <dataValidation type="list" sqref="BK41">
      <formula1>",НЕТ,ДА"</formula1>
    </dataValidation>
    <dataValidation type="list" sqref="BE42">
      <formula1>",Не облагается,10,22"</formula1>
    </dataValidation>
    <dataValidation type="list" sqref="BG42">
      <formula1>",НЕТ,ДА"</formula1>
    </dataValidation>
    <dataValidation type="list" sqref="BI42">
      <formula1>",НЕТ,ДА"</formula1>
    </dataValidation>
    <dataValidation type="list" sqref="BJ42">
      <formula1>",НЕТ,ДА"</formula1>
    </dataValidation>
    <dataValidation type="list" sqref="BK42">
      <formula1>",НЕТ,ДА"</formula1>
    </dataValidation>
    <dataValidation type="list" sqref="BE43">
      <formula1>",Не облагается,10,22"</formula1>
    </dataValidation>
    <dataValidation type="list" sqref="BG43">
      <formula1>",НЕТ,ДА"</formula1>
    </dataValidation>
    <dataValidation type="list" sqref="BI43">
      <formula1>",НЕТ,ДА"</formula1>
    </dataValidation>
    <dataValidation type="list" sqref="BJ43">
      <formula1>",НЕТ,ДА"</formula1>
    </dataValidation>
    <dataValidation type="list" sqref="BK43">
      <formula1>",НЕТ,ДА"</formula1>
    </dataValidation>
    <dataValidation type="list" sqref="BE44">
      <formula1>",Не облагается,10,22"</formula1>
    </dataValidation>
    <dataValidation type="list" sqref="BG44">
      <formula1>",НЕТ,ДА"</formula1>
    </dataValidation>
    <dataValidation type="list" sqref="BI44">
      <formula1>",НЕТ,ДА"</formula1>
    </dataValidation>
    <dataValidation type="list" sqref="BJ44">
      <formula1>",НЕТ,ДА"</formula1>
    </dataValidation>
    <dataValidation type="list" sqref="BK44">
      <formula1>",НЕТ,ДА"</formula1>
    </dataValidation>
    <dataValidation type="list" sqref="BE45">
      <formula1>",Не облагается,10,22"</formula1>
    </dataValidation>
    <dataValidation type="list" sqref="BG45">
      <formula1>",НЕТ,ДА"</formula1>
    </dataValidation>
    <dataValidation type="list" sqref="BI45">
      <formula1>",НЕТ,ДА"</formula1>
    </dataValidation>
    <dataValidation type="list" sqref="BJ45">
      <formula1>",НЕТ,ДА"</formula1>
    </dataValidation>
    <dataValidation type="list" sqref="BK45">
      <formula1>",НЕТ,ДА"</formula1>
    </dataValidation>
    <dataValidation type="list" sqref="BE46">
      <formula1>",Не облагается,10,22"</formula1>
    </dataValidation>
    <dataValidation type="list" sqref="BG46">
      <formula1>",НЕТ,ДА"</formula1>
    </dataValidation>
    <dataValidation type="list" sqref="BI46">
      <formula1>",НЕТ,ДА"</formula1>
    </dataValidation>
    <dataValidation type="list" sqref="BJ46">
      <formula1>",НЕТ,ДА"</formula1>
    </dataValidation>
    <dataValidation type="list" sqref="BK46">
      <formula1>",НЕТ,ДА"</formula1>
    </dataValidation>
    <dataValidation type="list" sqref="BE47">
      <formula1>",Не облагается,10,22"</formula1>
    </dataValidation>
    <dataValidation type="list" sqref="BG47">
      <formula1>",НЕТ,ДА"</formula1>
    </dataValidation>
    <dataValidation type="list" sqref="BI47">
      <formula1>",НЕТ,ДА"</formula1>
    </dataValidation>
    <dataValidation type="list" sqref="BJ47">
      <formula1>",НЕТ,ДА"</formula1>
    </dataValidation>
    <dataValidation type="list" sqref="BK47">
      <formula1>",НЕТ,ДА"</formula1>
    </dataValidation>
    <dataValidation type="list" sqref="BE48">
      <formula1>",Не облагается,10,22"</formula1>
    </dataValidation>
    <dataValidation type="list" sqref="BG48">
      <formula1>",НЕТ,ДА"</formula1>
    </dataValidation>
    <dataValidation type="list" sqref="BI48">
      <formula1>",НЕТ,ДА"</formula1>
    </dataValidation>
    <dataValidation type="list" sqref="BJ48">
      <formula1>",НЕТ,ДА"</formula1>
    </dataValidation>
    <dataValidation type="list" sqref="BK48">
      <formula1>",НЕТ,ДА"</formula1>
    </dataValidation>
    <dataValidation type="list" sqref="BE49">
      <formula1>",Не облагается,10,22"</formula1>
    </dataValidation>
    <dataValidation type="list" sqref="BG49">
      <formula1>",НЕТ,ДА"</formula1>
    </dataValidation>
    <dataValidation type="list" sqref="BI49">
      <formula1>",НЕТ,ДА"</formula1>
    </dataValidation>
    <dataValidation type="list" sqref="BJ49">
      <formula1>",НЕТ,ДА"</formula1>
    </dataValidation>
    <dataValidation type="list" sqref="BK49">
      <formula1>",НЕТ,ДА"</formula1>
    </dataValidation>
    <dataValidation type="list" sqref="BE50">
      <formula1>",Не облагается,10,22"</formula1>
    </dataValidation>
    <dataValidation type="list" sqref="BG50">
      <formula1>",НЕТ,ДА"</formula1>
    </dataValidation>
    <dataValidation type="list" sqref="BI50">
      <formula1>",НЕТ,ДА"</formula1>
    </dataValidation>
    <dataValidation type="list" sqref="BJ50">
      <formula1>",НЕТ,ДА"</formula1>
    </dataValidation>
    <dataValidation type="list" sqref="BK50">
      <formula1>",НЕТ,ДА"</formula1>
    </dataValidation>
    <dataValidation type="list" sqref="BE51">
      <formula1>",Не облагается,10,22"</formula1>
    </dataValidation>
    <dataValidation type="list" sqref="BG51">
      <formula1>",НЕТ,ДА"</formula1>
    </dataValidation>
    <dataValidation type="list" sqref="BI51">
      <formula1>",НЕТ,ДА"</formula1>
    </dataValidation>
    <dataValidation type="list" sqref="BJ51">
      <formula1>",НЕТ,ДА"</formula1>
    </dataValidation>
    <dataValidation type="list" sqref="BK51">
      <formula1>",НЕТ,ДА"</formula1>
    </dataValidation>
    <dataValidation type="list" sqref="BE52">
      <formula1>",Не облагается,10,22"</formula1>
    </dataValidation>
    <dataValidation type="list" sqref="BG52">
      <formula1>",НЕТ,ДА"</formula1>
    </dataValidation>
    <dataValidation type="list" sqref="BI52">
      <formula1>",НЕТ,ДА"</formula1>
    </dataValidation>
    <dataValidation type="list" sqref="BJ52">
      <formula1>",НЕТ,ДА"</formula1>
    </dataValidation>
    <dataValidation type="list" sqref="BK52">
      <formula1>",НЕТ,ДА"</formula1>
    </dataValidation>
    <dataValidation type="list" sqref="BE53">
      <formula1>",Не облагается,10,22"</formula1>
    </dataValidation>
    <dataValidation type="list" sqref="BG53">
      <formula1>",НЕТ,ДА"</formula1>
    </dataValidation>
    <dataValidation type="list" sqref="BI53">
      <formula1>",НЕТ,ДА"</formula1>
    </dataValidation>
    <dataValidation type="list" sqref="BJ53">
      <formula1>",НЕТ,ДА"</formula1>
    </dataValidation>
    <dataValidation type="list" sqref="BK53">
      <formula1>",НЕТ,ДА"</formula1>
    </dataValidation>
    <dataValidation type="list" sqref="BE54">
      <formula1>",Не облагается,10,22"</formula1>
    </dataValidation>
    <dataValidation type="list" sqref="BG54">
      <formula1>",НЕТ,ДА"</formula1>
    </dataValidation>
    <dataValidation type="list" sqref="BI54">
      <formula1>",НЕТ,ДА"</formula1>
    </dataValidation>
    <dataValidation type="list" sqref="BJ54">
      <formula1>",НЕТ,ДА"</formula1>
    </dataValidation>
    <dataValidation type="list" sqref="BK54">
      <formula1>",НЕТ,ДА"</formula1>
    </dataValidation>
    <dataValidation type="list" sqref="BE55">
      <formula1>",Не облагается,10,22"</formula1>
    </dataValidation>
    <dataValidation type="list" sqref="BG55">
      <formula1>",НЕТ,ДА"</formula1>
    </dataValidation>
    <dataValidation type="list" sqref="BI55">
      <formula1>",НЕТ,ДА"</formula1>
    </dataValidation>
    <dataValidation type="list" sqref="BJ55">
      <formula1>",НЕТ,ДА"</formula1>
    </dataValidation>
    <dataValidation type="list" sqref="BK55">
      <formula1>",НЕТ,ДА"</formula1>
    </dataValidation>
    <dataValidation type="list" sqref="BE56">
      <formula1>",Не облагается,10,22"</formula1>
    </dataValidation>
    <dataValidation type="list" sqref="BG56">
      <formula1>",НЕТ,ДА"</formula1>
    </dataValidation>
    <dataValidation type="list" sqref="BI56">
      <formula1>",НЕТ,ДА"</formula1>
    </dataValidation>
    <dataValidation type="list" sqref="BJ56">
      <formula1>",НЕТ,ДА"</formula1>
    </dataValidation>
    <dataValidation type="list" sqref="BK56">
      <formula1>",НЕТ,ДА"</formula1>
    </dataValidation>
    <dataValidation type="list" sqref="BE57">
      <formula1>",Не облагается,10,22"</formula1>
    </dataValidation>
    <dataValidation type="list" sqref="BG57">
      <formula1>",НЕТ,ДА"</formula1>
    </dataValidation>
    <dataValidation type="list" sqref="BI57">
      <formula1>",НЕТ,ДА"</formula1>
    </dataValidation>
    <dataValidation type="list" sqref="BJ57">
      <formula1>",НЕТ,ДА"</formula1>
    </dataValidation>
    <dataValidation type="list" sqref="BK57">
      <formula1>",НЕТ,ДА"</formula1>
    </dataValidation>
    <dataValidation type="list" sqref="BE58">
      <formula1>",Не облагается,10,22"</formula1>
    </dataValidation>
    <dataValidation type="list" sqref="BG58">
      <formula1>",НЕТ,ДА"</formula1>
    </dataValidation>
    <dataValidation type="list" sqref="BI58">
      <formula1>",НЕТ,ДА"</formula1>
    </dataValidation>
    <dataValidation type="list" sqref="BJ58">
      <formula1>",НЕТ,ДА"</formula1>
    </dataValidation>
    <dataValidation type="list" sqref="BK58">
      <formula1>",НЕТ,ДА"</formula1>
    </dataValidation>
    <dataValidation type="list" sqref="BE59">
      <formula1>",Не облагается,10,22"</formula1>
    </dataValidation>
    <dataValidation type="list" sqref="BG59">
      <formula1>",НЕТ,ДА"</formula1>
    </dataValidation>
    <dataValidation type="list" sqref="BI59">
      <formula1>",НЕТ,ДА"</formula1>
    </dataValidation>
    <dataValidation type="list" sqref="BJ59">
      <formula1>",НЕТ,ДА"</formula1>
    </dataValidation>
    <dataValidation type="list" sqref="BK59">
      <formula1>",НЕТ,ДА"</formula1>
    </dataValidation>
    <dataValidation type="list" sqref="BE60">
      <formula1>",Не облагается,10,22"</formula1>
    </dataValidation>
    <dataValidation type="list" sqref="BG60">
      <formula1>",НЕТ,ДА"</formula1>
    </dataValidation>
    <dataValidation type="list" sqref="BI60">
      <formula1>",НЕТ,ДА"</formula1>
    </dataValidation>
    <dataValidation type="list" sqref="BJ60">
      <formula1>",НЕТ,ДА"</formula1>
    </dataValidation>
    <dataValidation type="list" sqref="BK60">
      <formula1>",НЕТ,ДА"</formula1>
    </dataValidation>
    <dataValidation type="list" sqref="BE61">
      <formula1>",Не облагается,10,22"</formula1>
    </dataValidation>
    <dataValidation type="list" sqref="BG61">
      <formula1>",НЕТ,ДА"</formula1>
    </dataValidation>
    <dataValidation type="list" sqref="BI61">
      <formula1>",НЕТ,ДА"</formula1>
    </dataValidation>
    <dataValidation type="list" sqref="BJ61">
      <formula1>",НЕТ,ДА"</formula1>
    </dataValidation>
    <dataValidation type="list" sqref="BK61">
      <formula1>",НЕТ,ДА"</formula1>
    </dataValidation>
    <dataValidation type="list" sqref="BE62">
      <formula1>",Не облагается,10,22"</formula1>
    </dataValidation>
    <dataValidation type="list" sqref="BG62">
      <formula1>",НЕТ,ДА"</formula1>
    </dataValidation>
    <dataValidation type="list" sqref="BI62">
      <formula1>",НЕТ,ДА"</formula1>
    </dataValidation>
    <dataValidation type="list" sqref="BJ62">
      <formula1>",НЕТ,ДА"</formula1>
    </dataValidation>
    <dataValidation type="list" sqref="BK62">
      <formula1>",НЕТ,ДА"</formula1>
    </dataValidation>
    <dataValidation type="list" sqref="BE63">
      <formula1>",Не облагается,10,22"</formula1>
    </dataValidation>
    <dataValidation type="list" sqref="BG63">
      <formula1>",НЕТ,ДА"</formula1>
    </dataValidation>
    <dataValidation type="list" sqref="BI63">
      <formula1>",НЕТ,ДА"</formula1>
    </dataValidation>
    <dataValidation type="list" sqref="BJ63">
      <formula1>",НЕТ,ДА"</formula1>
    </dataValidation>
    <dataValidation type="list" sqref="BK63">
      <formula1>",НЕТ,ДА"</formula1>
    </dataValidation>
    <dataValidation type="list" sqref="BE64">
      <formula1>",Не облагается,10,22"</formula1>
    </dataValidation>
    <dataValidation type="list" sqref="BG64">
      <formula1>",НЕТ,ДА"</formula1>
    </dataValidation>
    <dataValidation type="list" sqref="BI64">
      <formula1>",НЕТ,ДА"</formula1>
    </dataValidation>
    <dataValidation type="list" sqref="BJ64">
      <formula1>",НЕТ,ДА"</formula1>
    </dataValidation>
    <dataValidation type="list" sqref="BK64">
      <formula1>",НЕТ,ДА"</formula1>
    </dataValidation>
    <dataValidation type="list" sqref="BE65">
      <formula1>",Не облагается,10,22"</formula1>
    </dataValidation>
    <dataValidation type="list" sqref="BG65">
      <formula1>",НЕТ,ДА"</formula1>
    </dataValidation>
    <dataValidation type="list" sqref="BI65">
      <formula1>",НЕТ,ДА"</formula1>
    </dataValidation>
    <dataValidation type="list" sqref="BJ65">
      <formula1>",НЕТ,ДА"</formula1>
    </dataValidation>
    <dataValidation type="list" sqref="BK65">
      <formula1>",НЕТ,ДА"</formula1>
    </dataValidation>
    <dataValidation type="list" sqref="BE66">
      <formula1>",Не облагается,10,22"</formula1>
    </dataValidation>
    <dataValidation type="list" sqref="BG66">
      <formula1>",НЕТ,ДА"</formula1>
    </dataValidation>
    <dataValidation type="list" sqref="BI66">
      <formula1>",НЕТ,ДА"</formula1>
    </dataValidation>
    <dataValidation type="list" sqref="BJ66">
      <formula1>",НЕТ,ДА"</formula1>
    </dataValidation>
    <dataValidation type="list" sqref="BK66">
      <formula1>",НЕТ,ДА"</formula1>
    </dataValidation>
    <dataValidation type="list" sqref="BE67">
      <formula1>",Не облагается,10,22"</formula1>
    </dataValidation>
    <dataValidation type="list" sqref="BG67">
      <formula1>",НЕТ,ДА"</formula1>
    </dataValidation>
    <dataValidation type="list" sqref="BI67">
      <formula1>",НЕТ,ДА"</formula1>
    </dataValidation>
    <dataValidation type="list" sqref="BJ67">
      <formula1>",НЕТ,ДА"</formula1>
    </dataValidation>
    <dataValidation type="list" sqref="BK67">
      <formula1>",НЕТ,ДА"</formula1>
    </dataValidation>
    <dataValidation type="list" sqref="BE68">
      <formula1>",Не облагается,10,22"</formula1>
    </dataValidation>
    <dataValidation type="list" sqref="BG68">
      <formula1>",НЕТ,ДА"</formula1>
    </dataValidation>
    <dataValidation type="list" sqref="BI68">
      <formula1>",НЕТ,ДА"</formula1>
    </dataValidation>
    <dataValidation type="list" sqref="BJ68">
      <formula1>",НЕТ,ДА"</formula1>
    </dataValidation>
    <dataValidation type="list" sqref="BK68">
      <formula1>",НЕТ,ДА"</formula1>
    </dataValidation>
    <dataValidation type="list" sqref="BE69">
      <formula1>",Не облагается,10,22"</formula1>
    </dataValidation>
    <dataValidation type="list" sqref="BG69">
      <formula1>",НЕТ,ДА"</formula1>
    </dataValidation>
    <dataValidation type="list" sqref="BI69">
      <formula1>",НЕТ,ДА"</formula1>
    </dataValidation>
    <dataValidation type="list" sqref="BJ69">
      <formula1>",НЕТ,ДА"</formula1>
    </dataValidation>
    <dataValidation type="list" sqref="BK69">
      <formula1>",НЕТ,ДА"</formula1>
    </dataValidation>
    <dataValidation type="list" sqref="BE70">
      <formula1>",Не облагается,10,22"</formula1>
    </dataValidation>
    <dataValidation type="list" sqref="BG70">
      <formula1>",НЕТ,ДА"</formula1>
    </dataValidation>
    <dataValidation type="list" sqref="BI70">
      <formula1>",НЕТ,ДА"</formula1>
    </dataValidation>
    <dataValidation type="list" sqref="BJ70">
      <formula1>",НЕТ,ДА"</formula1>
    </dataValidation>
    <dataValidation type="list" sqref="BK70">
      <formula1>",НЕТ,ДА"</formula1>
    </dataValidation>
    <dataValidation type="list" sqref="BE71">
      <formula1>",Не облагается,10,22"</formula1>
    </dataValidation>
    <dataValidation type="list" sqref="BG71">
      <formula1>",НЕТ,ДА"</formula1>
    </dataValidation>
    <dataValidation type="list" sqref="BI71">
      <formula1>",НЕТ,ДА"</formula1>
    </dataValidation>
    <dataValidation type="list" sqref="BJ71">
      <formula1>",НЕТ,ДА"</formula1>
    </dataValidation>
    <dataValidation type="list" sqref="BK71">
      <formula1>",НЕТ,ДА"</formula1>
    </dataValidation>
    <dataValidation type="list" sqref="BE72">
      <formula1>",Не облагается,10,22"</formula1>
    </dataValidation>
    <dataValidation type="list" sqref="BG72">
      <formula1>",НЕТ,ДА"</formula1>
    </dataValidation>
    <dataValidation type="list" sqref="BI72">
      <formula1>",НЕТ,ДА"</formula1>
    </dataValidation>
    <dataValidation type="list" sqref="BJ72">
      <formula1>",НЕТ,ДА"</formula1>
    </dataValidation>
    <dataValidation type="list" sqref="BK72">
      <formula1>",НЕТ,ДА"</formula1>
    </dataValidation>
    <dataValidation type="list" sqref="BE73">
      <formula1>",Не облагается,10,22"</formula1>
    </dataValidation>
    <dataValidation type="list" sqref="BG73">
      <formula1>",НЕТ,ДА"</formula1>
    </dataValidation>
    <dataValidation type="list" sqref="BI73">
      <formula1>",НЕТ,ДА"</formula1>
    </dataValidation>
    <dataValidation type="list" sqref="BJ73">
      <formula1>",НЕТ,ДА"</formula1>
    </dataValidation>
    <dataValidation type="list" sqref="BK73">
      <formula1>",НЕТ,ДА"</formula1>
    </dataValidation>
    <dataValidation type="list" sqref="BE74">
      <formula1>",Не облагается,10,22"</formula1>
    </dataValidation>
    <dataValidation type="list" sqref="BG74">
      <formula1>",НЕТ,ДА"</formula1>
    </dataValidation>
    <dataValidation type="list" sqref="BI74">
      <formula1>",НЕТ,ДА"</formula1>
    </dataValidation>
    <dataValidation type="list" sqref="BJ74">
      <formula1>",НЕТ,ДА"</formula1>
    </dataValidation>
    <dataValidation type="list" sqref="BK74">
      <formula1>",НЕТ,ДА"</formula1>
    </dataValidation>
    <dataValidation type="list" sqref="BE75">
      <formula1>",Не облагается,10,22"</formula1>
    </dataValidation>
    <dataValidation type="list" sqref="BG75">
      <formula1>",НЕТ,ДА"</formula1>
    </dataValidation>
    <dataValidation type="list" sqref="BI75">
      <formula1>",НЕТ,ДА"</formula1>
    </dataValidation>
    <dataValidation type="list" sqref="BJ75">
      <formula1>",НЕТ,ДА"</formula1>
    </dataValidation>
    <dataValidation type="list" sqref="BK75">
      <formula1>",НЕТ,ДА"</formula1>
    </dataValidation>
    <dataValidation type="list" sqref="BE76">
      <formula1>",Не облагается,10,22"</formula1>
    </dataValidation>
    <dataValidation type="list" sqref="BG76">
      <formula1>",НЕТ,ДА"</formula1>
    </dataValidation>
    <dataValidation type="list" sqref="BI76">
      <formula1>",НЕТ,ДА"</formula1>
    </dataValidation>
    <dataValidation type="list" sqref="BJ76">
      <formula1>",НЕТ,ДА"</formula1>
    </dataValidation>
    <dataValidation type="list" sqref="BK76">
      <formula1>",НЕТ,ДА"</formula1>
    </dataValidation>
    <dataValidation type="list" sqref="BE77">
      <formula1>",Не облагается,10,22"</formula1>
    </dataValidation>
    <dataValidation type="list" sqref="BG77">
      <formula1>",НЕТ,ДА"</formula1>
    </dataValidation>
    <dataValidation type="list" sqref="BI77">
      <formula1>",НЕТ,ДА"</formula1>
    </dataValidation>
    <dataValidation type="list" sqref="BJ77">
      <formula1>",НЕТ,ДА"</formula1>
    </dataValidation>
    <dataValidation type="list" sqref="BK77">
      <formula1>",НЕТ,ДА"</formula1>
    </dataValidation>
    <dataValidation type="list" sqref="BE78">
      <formula1>",Не облагается,10,22"</formula1>
    </dataValidation>
    <dataValidation type="list" sqref="BG78">
      <formula1>",НЕТ,ДА"</formula1>
    </dataValidation>
    <dataValidation type="list" sqref="BI78">
      <formula1>",НЕТ,ДА"</formula1>
    </dataValidation>
    <dataValidation type="list" sqref="BJ78">
      <formula1>",НЕТ,ДА"</formula1>
    </dataValidation>
    <dataValidation type="list" sqref="BK78">
      <formula1>",НЕТ,ДА"</formula1>
    </dataValidation>
    <dataValidation type="list" sqref="BE79">
      <formula1>",Не облагается,10,22"</formula1>
    </dataValidation>
    <dataValidation type="list" sqref="BG79">
      <formula1>",НЕТ,ДА"</formula1>
    </dataValidation>
    <dataValidation type="list" sqref="BI79">
      <formula1>",НЕТ,ДА"</formula1>
    </dataValidation>
    <dataValidation type="list" sqref="BJ79">
      <formula1>",НЕТ,ДА"</formula1>
    </dataValidation>
    <dataValidation type="list" sqref="BK79">
      <formula1>",НЕТ,ДА"</formula1>
    </dataValidation>
    <dataValidation type="list" sqref="BE80">
      <formula1>",Не облагается,10,22"</formula1>
    </dataValidation>
    <dataValidation type="list" sqref="BG80">
      <formula1>",НЕТ,ДА"</formula1>
    </dataValidation>
    <dataValidation type="list" sqref="BI80">
      <formula1>",НЕТ,ДА"</formula1>
    </dataValidation>
    <dataValidation type="list" sqref="BJ80">
      <formula1>",НЕТ,ДА"</formula1>
    </dataValidation>
    <dataValidation type="list" sqref="BK80">
      <formula1>",НЕТ,ДА"</formula1>
    </dataValidation>
    <dataValidation type="list" sqref="BE81">
      <formula1>",Не облагается,10,22"</formula1>
    </dataValidation>
    <dataValidation type="list" sqref="BG81">
      <formula1>",НЕТ,ДА"</formula1>
    </dataValidation>
    <dataValidation type="list" sqref="BI81">
      <formula1>",НЕТ,ДА"</formula1>
    </dataValidation>
    <dataValidation type="list" sqref="BJ81">
      <formula1>",НЕТ,ДА"</formula1>
    </dataValidation>
    <dataValidation type="list" sqref="BK81">
      <formula1>",НЕТ,ДА"</formula1>
    </dataValidation>
    <dataValidation type="list" sqref="BE82">
      <formula1>",Не облагается,10,22"</formula1>
    </dataValidation>
    <dataValidation type="list" sqref="BG82">
      <formula1>",НЕТ,ДА"</formula1>
    </dataValidation>
    <dataValidation type="list" sqref="BI82">
      <formula1>",НЕТ,ДА"</formula1>
    </dataValidation>
    <dataValidation type="list" sqref="BJ82">
      <formula1>",НЕТ,ДА"</formula1>
    </dataValidation>
    <dataValidation type="list" sqref="BK82">
      <formula1>",НЕТ,ДА"</formula1>
    </dataValidation>
    <dataValidation type="list" sqref="BE83">
      <formula1>",Не облагается,10,22"</formula1>
    </dataValidation>
    <dataValidation type="list" sqref="BG83">
      <formula1>",НЕТ,ДА"</formula1>
    </dataValidation>
    <dataValidation type="list" sqref="BI83">
      <formula1>",НЕТ,ДА"</formula1>
    </dataValidation>
    <dataValidation type="list" sqref="BJ83">
      <formula1>",НЕТ,ДА"</formula1>
    </dataValidation>
    <dataValidation type="list" sqref="BK83">
      <formula1>",НЕТ,ДА"</formula1>
    </dataValidation>
    <dataValidation type="list" sqref="BE84">
      <formula1>",Не облагается,10,22"</formula1>
    </dataValidation>
    <dataValidation type="list" sqref="BG84">
      <formula1>",НЕТ,ДА"</formula1>
    </dataValidation>
    <dataValidation type="list" sqref="BI84">
      <formula1>",НЕТ,ДА"</formula1>
    </dataValidation>
    <dataValidation type="list" sqref="BJ84">
      <formula1>",НЕТ,ДА"</formula1>
    </dataValidation>
    <dataValidation type="list" sqref="BK84">
      <formula1>",НЕТ,ДА"</formula1>
    </dataValidation>
    <dataValidation type="list" sqref="BE85">
      <formula1>",Не облагается,10,22"</formula1>
    </dataValidation>
    <dataValidation type="list" sqref="BG85">
      <formula1>",НЕТ,ДА"</formula1>
    </dataValidation>
    <dataValidation type="list" sqref="BI85">
      <formula1>",НЕТ,ДА"</formula1>
    </dataValidation>
    <dataValidation type="list" sqref="BJ85">
      <formula1>",НЕТ,ДА"</formula1>
    </dataValidation>
    <dataValidation type="list" sqref="BK85">
      <formula1>",НЕТ,ДА"</formula1>
    </dataValidation>
    <dataValidation type="list" sqref="BE86">
      <formula1>",Не облагается,10,22"</formula1>
    </dataValidation>
    <dataValidation type="list" sqref="BG86">
      <formula1>",НЕТ,ДА"</formula1>
    </dataValidation>
    <dataValidation type="list" sqref="BI86">
      <formula1>",НЕТ,ДА"</formula1>
    </dataValidation>
    <dataValidation type="list" sqref="BJ86">
      <formula1>",НЕТ,ДА"</formula1>
    </dataValidation>
    <dataValidation type="list" sqref="BK86">
      <formula1>",НЕТ,ДА"</formula1>
    </dataValidation>
    <dataValidation type="list" sqref="BE87">
      <formula1>",Не облагается,10,22"</formula1>
    </dataValidation>
    <dataValidation type="list" sqref="BG87">
      <formula1>",НЕТ,ДА"</formula1>
    </dataValidation>
    <dataValidation type="list" sqref="BI87">
      <formula1>",НЕТ,ДА"</formula1>
    </dataValidation>
    <dataValidation type="list" sqref="BJ87">
      <formula1>",НЕТ,ДА"</formula1>
    </dataValidation>
    <dataValidation type="list" sqref="BK87">
      <formula1>",НЕТ,ДА"</formula1>
    </dataValidation>
    <dataValidation type="list" sqref="BE88">
      <formula1>",Не облагается,10,22"</formula1>
    </dataValidation>
    <dataValidation type="list" sqref="BG88">
      <formula1>",НЕТ,ДА"</formula1>
    </dataValidation>
    <dataValidation type="list" sqref="BI88">
      <formula1>",НЕТ,ДА"</formula1>
    </dataValidation>
    <dataValidation type="list" sqref="BJ88">
      <formula1>",НЕТ,ДА"</formula1>
    </dataValidation>
    <dataValidation type="list" sqref="BK88">
      <formula1>",НЕТ,ДА"</formula1>
    </dataValidation>
    <dataValidation type="list" sqref="BE89">
      <formula1>",Не облагается,10,22"</formula1>
    </dataValidation>
    <dataValidation type="list" sqref="BG89">
      <formula1>",НЕТ,ДА"</formula1>
    </dataValidation>
    <dataValidation type="list" sqref="BI89">
      <formula1>",НЕТ,ДА"</formula1>
    </dataValidation>
    <dataValidation type="list" sqref="BJ89">
      <formula1>",НЕТ,ДА"</formula1>
    </dataValidation>
    <dataValidation type="list" sqref="BK89">
      <formula1>",НЕТ,ДА"</formula1>
    </dataValidation>
    <dataValidation type="list" sqref="BE90">
      <formula1>",Не облагается,10,22"</formula1>
    </dataValidation>
    <dataValidation type="list" sqref="BG90">
      <formula1>",НЕТ,ДА"</formula1>
    </dataValidation>
    <dataValidation type="list" sqref="BI90">
      <formula1>",НЕТ,ДА"</formula1>
    </dataValidation>
    <dataValidation type="list" sqref="BJ90">
      <formula1>",НЕТ,ДА"</formula1>
    </dataValidation>
    <dataValidation type="list" sqref="BK90">
      <formula1>",НЕТ,ДА"</formula1>
    </dataValidation>
    <dataValidation type="list" sqref="BE91">
      <formula1>",Не облагается,10,22"</formula1>
    </dataValidation>
    <dataValidation type="list" sqref="BG91">
      <formula1>",НЕТ,ДА"</formula1>
    </dataValidation>
    <dataValidation type="list" sqref="BI91">
      <formula1>",НЕТ,ДА"</formula1>
    </dataValidation>
    <dataValidation type="list" sqref="BJ91">
      <formula1>",НЕТ,ДА"</formula1>
    </dataValidation>
    <dataValidation type="list" sqref="BK91">
      <formula1>",НЕТ,ДА"</formula1>
    </dataValidation>
    <dataValidation type="list" sqref="BE92">
      <formula1>",Не облагается,10,22"</formula1>
    </dataValidation>
    <dataValidation type="list" sqref="BG92">
      <formula1>",НЕТ,ДА"</formula1>
    </dataValidation>
    <dataValidation type="list" sqref="BI92">
      <formula1>",НЕТ,ДА"</formula1>
    </dataValidation>
    <dataValidation type="list" sqref="BJ92">
      <formula1>",НЕТ,ДА"</formula1>
    </dataValidation>
    <dataValidation type="list" sqref="BK92">
      <formula1>",НЕТ,ДА"</formula1>
    </dataValidation>
    <dataValidation type="list" sqref="BE93">
      <formula1>",Не облагается,10,22"</formula1>
    </dataValidation>
    <dataValidation type="list" sqref="BG93">
      <formula1>",НЕТ,ДА"</formula1>
    </dataValidation>
    <dataValidation type="list" sqref="BI93">
      <formula1>",НЕТ,ДА"</formula1>
    </dataValidation>
    <dataValidation type="list" sqref="BJ93">
      <formula1>",НЕТ,ДА"</formula1>
    </dataValidation>
    <dataValidation type="list" sqref="BK93">
      <formula1>",НЕТ,ДА"</formula1>
    </dataValidation>
    <dataValidation type="list" sqref="BE94">
      <formula1>",Не облагается,10,22"</formula1>
    </dataValidation>
    <dataValidation type="list" sqref="BG94">
      <formula1>",НЕТ,ДА"</formula1>
    </dataValidation>
    <dataValidation type="list" sqref="BI94">
      <formula1>",НЕТ,ДА"</formula1>
    </dataValidation>
    <dataValidation type="list" sqref="BJ94">
      <formula1>",НЕТ,ДА"</formula1>
    </dataValidation>
    <dataValidation type="list" sqref="BK94">
      <formula1>",НЕТ,ДА"</formula1>
    </dataValidation>
    <dataValidation type="list" sqref="BE95">
      <formula1>",Не облагается,10,22"</formula1>
    </dataValidation>
    <dataValidation type="list" sqref="BG95">
      <formula1>",НЕТ,ДА"</formula1>
    </dataValidation>
    <dataValidation type="list" sqref="BI95">
      <formula1>",НЕТ,ДА"</formula1>
    </dataValidation>
    <dataValidation type="list" sqref="BJ95">
      <formula1>",НЕТ,ДА"</formula1>
    </dataValidation>
    <dataValidation type="list" sqref="BK95">
      <formula1>",НЕТ,ДА"</formula1>
    </dataValidation>
    <dataValidation type="list" sqref="BE96">
      <formula1>",Не облагается,10,22"</formula1>
    </dataValidation>
    <dataValidation type="list" sqref="BG96">
      <formula1>",НЕТ,ДА"</formula1>
    </dataValidation>
    <dataValidation type="list" sqref="BI96">
      <formula1>",НЕТ,ДА"</formula1>
    </dataValidation>
    <dataValidation type="list" sqref="BJ96">
      <formula1>",НЕТ,ДА"</formula1>
    </dataValidation>
    <dataValidation type="list" sqref="BK96">
      <formula1>",НЕТ,ДА"</formula1>
    </dataValidation>
    <dataValidation type="list" sqref="BE97">
      <formula1>",Не облагается,10,22"</formula1>
    </dataValidation>
    <dataValidation type="list" sqref="BG97">
      <formula1>",НЕТ,ДА"</formula1>
    </dataValidation>
    <dataValidation type="list" sqref="BI97">
      <formula1>",НЕТ,ДА"</formula1>
    </dataValidation>
    <dataValidation type="list" sqref="BJ97">
      <formula1>",НЕТ,ДА"</formula1>
    </dataValidation>
    <dataValidation type="list" sqref="BK97">
      <formula1>",НЕТ,ДА"</formula1>
    </dataValidation>
    <dataValidation type="list" sqref="BE98">
      <formula1>",Не облагается,10,22"</formula1>
    </dataValidation>
    <dataValidation type="list" sqref="BG98">
      <formula1>",НЕТ,ДА"</formula1>
    </dataValidation>
    <dataValidation type="list" sqref="BI98">
      <formula1>",НЕТ,ДА"</formula1>
    </dataValidation>
    <dataValidation type="list" sqref="BJ98">
      <formula1>",НЕТ,ДА"</formula1>
    </dataValidation>
    <dataValidation type="list" sqref="BK98">
      <formula1>",НЕТ,ДА"</formula1>
    </dataValidation>
    <dataValidation type="list" sqref="BE99">
      <formula1>",Не облагается,10,22"</formula1>
    </dataValidation>
    <dataValidation type="list" sqref="BG99">
      <formula1>",НЕТ,ДА"</formula1>
    </dataValidation>
    <dataValidation type="list" sqref="BI99">
      <formula1>",НЕТ,ДА"</formula1>
    </dataValidation>
    <dataValidation type="list" sqref="BJ99">
      <formula1>",НЕТ,ДА"</formula1>
    </dataValidation>
    <dataValidation type="list" sqref="BK99">
      <formula1>",НЕТ,ДА"</formula1>
    </dataValidation>
    <dataValidation type="list" sqref="BE100">
      <formula1>",Не облагается,10,22"</formula1>
    </dataValidation>
    <dataValidation type="list" sqref="BG100">
      <formula1>",НЕТ,ДА"</formula1>
    </dataValidation>
    <dataValidation type="list" sqref="BI100">
      <formula1>",НЕТ,ДА"</formula1>
    </dataValidation>
    <dataValidation type="list" sqref="BJ100">
      <formula1>",НЕТ,ДА"</formula1>
    </dataValidation>
    <dataValidation type="list" sqref="BK100">
      <formula1>",НЕТ,ДА"</formula1>
    </dataValidation>
    <dataValidation type="list" sqref="BE101">
      <formula1>",Не облагается,10,22"</formula1>
    </dataValidation>
    <dataValidation type="list" sqref="BG101">
      <formula1>",НЕТ,ДА"</formula1>
    </dataValidation>
    <dataValidation type="list" sqref="BI101">
      <formula1>",НЕТ,ДА"</formula1>
    </dataValidation>
    <dataValidation type="list" sqref="BJ101">
      <formula1>",НЕТ,ДА"</formula1>
    </dataValidation>
    <dataValidation type="list" sqref="BK101">
      <formula1>",НЕТ,ДА"</formula1>
    </dataValidation>
    <dataValidation type="list" sqref="BE102">
      <formula1>",Не облагается,10,22"</formula1>
    </dataValidation>
    <dataValidation type="list" sqref="BG102">
      <formula1>",НЕТ,ДА"</formula1>
    </dataValidation>
    <dataValidation type="list" sqref="BI102">
      <formula1>",НЕТ,ДА"</formula1>
    </dataValidation>
    <dataValidation type="list" sqref="BJ102">
      <formula1>",НЕТ,ДА"</formula1>
    </dataValidation>
    <dataValidation type="list" sqref="BK102">
      <formula1>",НЕТ,ДА"</formula1>
    </dataValidation>
    <dataValidation type="list" sqref="BE103">
      <formula1>",Не облагается,10,22"</formula1>
    </dataValidation>
    <dataValidation type="list" sqref="BG103">
      <formula1>",НЕТ,ДА"</formula1>
    </dataValidation>
    <dataValidation type="list" sqref="BI103">
      <formula1>",НЕТ,ДА"</formula1>
    </dataValidation>
    <dataValidation type="list" sqref="BJ103">
      <formula1>",НЕТ,ДА"</formula1>
    </dataValidation>
    <dataValidation type="list" sqref="BK103">
      <formula1>",НЕТ,ДА"</formula1>
    </dataValidation>
    <dataValidation type="list" sqref="BE104">
      <formula1>",Не облагается,10,22"</formula1>
    </dataValidation>
    <dataValidation type="list" sqref="BG104">
      <formula1>",НЕТ,ДА"</formula1>
    </dataValidation>
    <dataValidation type="list" sqref="BI104">
      <formula1>",НЕТ,ДА"</formula1>
    </dataValidation>
    <dataValidation type="list" sqref="BJ104">
      <formula1>",НЕТ,ДА"</formula1>
    </dataValidation>
    <dataValidation type="list" sqref="BK104">
      <formula1>",НЕТ,ДА"</formula1>
    </dataValidation>
    <dataValidation type="list" sqref="BE105">
      <formula1>",Не облагается,10,22"</formula1>
    </dataValidation>
    <dataValidation type="list" sqref="BG105">
      <formula1>",НЕТ,ДА"</formula1>
    </dataValidation>
    <dataValidation type="list" sqref="BI105">
      <formula1>",НЕТ,ДА"</formula1>
    </dataValidation>
    <dataValidation type="list" sqref="BJ105">
      <formula1>",НЕТ,ДА"</formula1>
    </dataValidation>
    <dataValidation type="list" sqref="BK105">
      <formula1>",НЕТ,ДА"</formula1>
    </dataValidation>
    <dataValidation type="list" sqref="BE106">
      <formula1>",Не облагается,10,22"</formula1>
    </dataValidation>
    <dataValidation type="list" sqref="BG106">
      <formula1>",НЕТ,ДА"</formula1>
    </dataValidation>
    <dataValidation type="list" sqref="BI106">
      <formula1>",НЕТ,ДА"</formula1>
    </dataValidation>
    <dataValidation type="list" sqref="BJ106">
      <formula1>",НЕТ,ДА"</formula1>
    </dataValidation>
    <dataValidation type="list" sqref="BK106">
      <formula1>",НЕТ,ДА"</formula1>
    </dataValidation>
    <dataValidation type="list" sqref="BE107">
      <formula1>",Не облагается,10,22"</formula1>
    </dataValidation>
    <dataValidation type="list" sqref="BG107">
      <formula1>",НЕТ,ДА"</formula1>
    </dataValidation>
    <dataValidation type="list" sqref="BI107">
      <formula1>",НЕТ,ДА"</formula1>
    </dataValidation>
    <dataValidation type="list" sqref="BJ107">
      <formula1>",НЕТ,ДА"</formula1>
    </dataValidation>
    <dataValidation type="list" sqref="BK107">
      <formula1>",НЕТ,ДА"</formula1>
    </dataValidation>
    <dataValidation type="list" sqref="BE108">
      <formula1>",Не облагается,10,22"</formula1>
    </dataValidation>
    <dataValidation type="list" sqref="BG108">
      <formula1>",НЕТ,ДА"</formula1>
    </dataValidation>
    <dataValidation type="list" sqref="BI108">
      <formula1>",НЕТ,ДА"</formula1>
    </dataValidation>
    <dataValidation type="list" sqref="BJ108">
      <formula1>",НЕТ,ДА"</formula1>
    </dataValidation>
    <dataValidation type="list" sqref="BK108">
      <formula1>",НЕТ,ДА"</formula1>
    </dataValidation>
    <dataValidation type="list" sqref="BE109">
      <formula1>",Не облагается,10,22"</formula1>
    </dataValidation>
    <dataValidation type="list" sqref="BG109">
      <formula1>",НЕТ,ДА"</formula1>
    </dataValidation>
    <dataValidation type="list" sqref="BI109">
      <formula1>",НЕТ,ДА"</formula1>
    </dataValidation>
    <dataValidation type="list" sqref="BJ109">
      <formula1>",НЕТ,ДА"</formula1>
    </dataValidation>
    <dataValidation type="list" sqref="BK109">
      <formula1>",НЕТ,ДА"</formula1>
    </dataValidation>
    <dataValidation type="list" sqref="BE110">
      <formula1>",Не облагается,10,22"</formula1>
    </dataValidation>
    <dataValidation type="list" sqref="BG110">
      <formula1>",НЕТ,ДА"</formula1>
    </dataValidation>
    <dataValidation type="list" sqref="BI110">
      <formula1>",НЕТ,ДА"</formula1>
    </dataValidation>
    <dataValidation type="list" sqref="BJ110">
      <formula1>",НЕТ,ДА"</formula1>
    </dataValidation>
    <dataValidation type="list" sqref="BK110">
      <formula1>",НЕТ,ДА"</formula1>
    </dataValidation>
    <dataValidation type="list" sqref="BE111">
      <formula1>",Не облагается,10,22"</formula1>
    </dataValidation>
    <dataValidation type="list" sqref="BG111">
      <formula1>",НЕТ,ДА"</formula1>
    </dataValidation>
    <dataValidation type="list" sqref="BI111">
      <formula1>",НЕТ,ДА"</formula1>
    </dataValidation>
    <dataValidation type="list" sqref="BJ111">
      <formula1>",НЕТ,ДА"</formula1>
    </dataValidation>
    <dataValidation type="list" sqref="BK111">
      <formula1>",НЕТ,ДА"</formula1>
    </dataValidation>
    <dataValidation type="list" sqref="BE112">
      <formula1>",Не облагается,10,22"</formula1>
    </dataValidation>
    <dataValidation type="list" sqref="BG112">
      <formula1>",НЕТ,ДА"</formula1>
    </dataValidation>
    <dataValidation type="list" sqref="BI112">
      <formula1>",НЕТ,ДА"</formula1>
    </dataValidation>
    <dataValidation type="list" sqref="BJ112">
      <formula1>",НЕТ,ДА"</formula1>
    </dataValidation>
    <dataValidation type="list" sqref="BK112">
      <formula1>",НЕТ,ДА"</formula1>
    </dataValidation>
    <dataValidation type="list" sqref="BE113">
      <formula1>",Не облагается,10,22"</formula1>
    </dataValidation>
    <dataValidation type="list" sqref="BG113">
      <formula1>",НЕТ,ДА"</formula1>
    </dataValidation>
    <dataValidation type="list" sqref="BI113">
      <formula1>",НЕТ,ДА"</formula1>
    </dataValidation>
    <dataValidation type="list" sqref="BJ113">
      <formula1>",НЕТ,ДА"</formula1>
    </dataValidation>
    <dataValidation type="list" sqref="BK113">
      <formula1>",НЕТ,ДА"</formula1>
    </dataValidation>
    <dataValidation type="list" sqref="BE114">
      <formula1>",Не облагается,10,22"</formula1>
    </dataValidation>
    <dataValidation type="list" sqref="BG114">
      <formula1>",НЕТ,ДА"</formula1>
    </dataValidation>
    <dataValidation type="list" sqref="BI114">
      <formula1>",НЕТ,ДА"</formula1>
    </dataValidation>
    <dataValidation type="list" sqref="BJ114">
      <formula1>",НЕТ,ДА"</formula1>
    </dataValidation>
    <dataValidation type="list" sqref="BK114">
      <formula1>",НЕТ,ДА"</formula1>
    </dataValidation>
    <dataValidation type="list" sqref="BE115">
      <formula1>",Не облагается,10,22"</formula1>
    </dataValidation>
    <dataValidation type="list" sqref="BG115">
      <formula1>",НЕТ,ДА"</formula1>
    </dataValidation>
    <dataValidation type="list" sqref="BI115">
      <formula1>",НЕТ,ДА"</formula1>
    </dataValidation>
    <dataValidation type="list" sqref="BJ115">
      <formula1>",НЕТ,ДА"</formula1>
    </dataValidation>
    <dataValidation type="list" sqref="BK115">
      <formula1>",НЕТ,ДА"</formula1>
    </dataValidation>
    <dataValidation type="list" sqref="BE116">
      <formula1>",Не облагается,10,22"</formula1>
    </dataValidation>
    <dataValidation type="list" sqref="BG116">
      <formula1>",НЕТ,ДА"</formula1>
    </dataValidation>
    <dataValidation type="list" sqref="BI116">
      <formula1>",НЕТ,ДА"</formula1>
    </dataValidation>
    <dataValidation type="list" sqref="BJ116">
      <formula1>",НЕТ,ДА"</formula1>
    </dataValidation>
    <dataValidation type="list" sqref="BK116">
      <formula1>",НЕТ,ДА"</formula1>
    </dataValidation>
    <dataValidation type="list" sqref="BE117">
      <formula1>",Не облагается,10,22"</formula1>
    </dataValidation>
    <dataValidation type="list" sqref="BG117">
      <formula1>",НЕТ,ДА"</formula1>
    </dataValidation>
    <dataValidation type="list" sqref="BI117">
      <formula1>",НЕТ,ДА"</formula1>
    </dataValidation>
    <dataValidation type="list" sqref="BJ117">
      <formula1>",НЕТ,ДА"</formula1>
    </dataValidation>
    <dataValidation type="list" sqref="BK117">
      <formula1>",НЕТ,ДА"</formula1>
    </dataValidation>
    <dataValidation type="list" sqref="BE118">
      <formula1>",Не облагается,10,22"</formula1>
    </dataValidation>
    <dataValidation type="list" sqref="BG118">
      <formula1>",НЕТ,ДА"</formula1>
    </dataValidation>
    <dataValidation type="list" sqref="BI118">
      <formula1>",НЕТ,ДА"</formula1>
    </dataValidation>
    <dataValidation type="list" sqref="BJ118">
      <formula1>",НЕТ,ДА"</formula1>
    </dataValidation>
    <dataValidation type="list" sqref="BK118">
      <formula1>",НЕТ,ДА"</formula1>
    </dataValidation>
    <dataValidation type="list" sqref="BE119">
      <formula1>",Не облагается,10,22"</formula1>
    </dataValidation>
    <dataValidation type="list" sqref="BG119">
      <formula1>",НЕТ,ДА"</formula1>
    </dataValidation>
    <dataValidation type="list" sqref="BI119">
      <formula1>",НЕТ,ДА"</formula1>
    </dataValidation>
    <dataValidation type="list" sqref="BJ119">
      <formula1>",НЕТ,ДА"</formula1>
    </dataValidation>
    <dataValidation type="list" sqref="BK119">
      <formula1>",НЕТ,ДА"</formula1>
    </dataValidation>
    <dataValidation type="list" sqref="BE120">
      <formula1>",Не облагается,10,22"</formula1>
    </dataValidation>
    <dataValidation type="list" sqref="BG120">
      <formula1>",НЕТ,ДА"</formula1>
    </dataValidation>
    <dataValidation type="list" sqref="BI120">
      <formula1>",НЕТ,ДА"</formula1>
    </dataValidation>
    <dataValidation type="list" sqref="BJ120">
      <formula1>",НЕТ,ДА"</formula1>
    </dataValidation>
    <dataValidation type="list" sqref="BK120">
      <formula1>",НЕТ,ДА"</formula1>
    </dataValidation>
    <dataValidation type="list" sqref="BE121">
      <formula1>",Не облагается,10,22"</formula1>
    </dataValidation>
    <dataValidation type="list" sqref="BG121">
      <formula1>",НЕТ,ДА"</formula1>
    </dataValidation>
    <dataValidation type="list" sqref="BI121">
      <formula1>",НЕТ,ДА"</formula1>
    </dataValidation>
    <dataValidation type="list" sqref="BJ121">
      <formula1>",НЕТ,ДА"</formula1>
    </dataValidation>
    <dataValidation type="list" sqref="BK121">
      <formula1>",НЕТ,ДА"</formula1>
    </dataValidation>
    <dataValidation type="list" sqref="BE122">
      <formula1>",Не облагается,10,22"</formula1>
    </dataValidation>
    <dataValidation type="list" sqref="BG122">
      <formula1>",НЕТ,ДА"</formula1>
    </dataValidation>
    <dataValidation type="list" sqref="BI122">
      <formula1>",НЕТ,ДА"</formula1>
    </dataValidation>
    <dataValidation type="list" sqref="BJ122">
      <formula1>",НЕТ,ДА"</formula1>
    </dataValidation>
    <dataValidation type="list" sqref="BK122">
      <formula1>",НЕТ,ДА"</formula1>
    </dataValidation>
    <dataValidation type="list" sqref="BE123">
      <formula1>",Не облагается,10,22"</formula1>
    </dataValidation>
    <dataValidation type="list" sqref="BG123">
      <formula1>",НЕТ,ДА"</formula1>
    </dataValidation>
    <dataValidation type="list" sqref="BI123">
      <formula1>",НЕТ,ДА"</formula1>
    </dataValidation>
    <dataValidation type="list" sqref="BJ123">
      <formula1>",НЕТ,ДА"</formula1>
    </dataValidation>
    <dataValidation type="list" sqref="BK123">
      <formula1>",НЕТ,ДА"</formula1>
    </dataValidation>
    <dataValidation type="list" sqref="BE124">
      <formula1>",Не облагается,10,22"</formula1>
    </dataValidation>
    <dataValidation type="list" sqref="BG124">
      <formula1>",НЕТ,ДА"</formula1>
    </dataValidation>
    <dataValidation type="list" sqref="BI124">
      <formula1>",НЕТ,ДА"</formula1>
    </dataValidation>
    <dataValidation type="list" sqref="BJ124">
      <formula1>",НЕТ,ДА"</formula1>
    </dataValidation>
    <dataValidation type="list" sqref="BK124">
      <formula1>",НЕТ,ДА"</formula1>
    </dataValidation>
    <dataValidation type="list" sqref="BE125">
      <formula1>",Не облагается,10,22"</formula1>
    </dataValidation>
    <dataValidation type="list" sqref="BG125">
      <formula1>",НЕТ,ДА"</formula1>
    </dataValidation>
    <dataValidation type="list" sqref="BI125">
      <formula1>",НЕТ,ДА"</formula1>
    </dataValidation>
    <dataValidation type="list" sqref="BJ125">
      <formula1>",НЕТ,ДА"</formula1>
    </dataValidation>
    <dataValidation type="list" sqref="BK125">
      <formula1>",НЕТ,ДА"</formula1>
    </dataValidation>
    <dataValidation type="list" sqref="BE126">
      <formula1>",Не облагается,10,22"</formula1>
    </dataValidation>
    <dataValidation type="list" sqref="BG126">
      <formula1>",НЕТ,ДА"</formula1>
    </dataValidation>
    <dataValidation type="list" sqref="BI126">
      <formula1>",НЕТ,ДА"</formula1>
    </dataValidation>
    <dataValidation type="list" sqref="BJ126">
      <formula1>",НЕТ,ДА"</formula1>
    </dataValidation>
    <dataValidation type="list" sqref="BK126">
      <formula1>",НЕТ,ДА"</formula1>
    </dataValidation>
    <dataValidation type="list" sqref="BE127">
      <formula1>",Не облагается,10,22"</formula1>
    </dataValidation>
    <dataValidation type="list" sqref="BG127">
      <formula1>",НЕТ,ДА"</formula1>
    </dataValidation>
    <dataValidation type="list" sqref="BI127">
      <formula1>",НЕТ,ДА"</formula1>
    </dataValidation>
    <dataValidation type="list" sqref="BJ127">
      <formula1>",НЕТ,ДА"</formula1>
    </dataValidation>
    <dataValidation type="list" sqref="BK127">
      <formula1>",НЕТ,ДА"</formula1>
    </dataValidation>
    <dataValidation type="list" sqref="BE128">
      <formula1>",Не облагается,10,22"</formula1>
    </dataValidation>
    <dataValidation type="list" sqref="BG128">
      <formula1>",НЕТ,ДА"</formula1>
    </dataValidation>
    <dataValidation type="list" sqref="BI128">
      <formula1>",НЕТ,ДА"</formula1>
    </dataValidation>
    <dataValidation type="list" sqref="BJ128">
      <formula1>",НЕТ,ДА"</formula1>
    </dataValidation>
    <dataValidation type="list" sqref="BK128">
      <formula1>",НЕТ,ДА"</formula1>
    </dataValidation>
    <dataValidation type="list" sqref="BE129">
      <formula1>",Не облагается,10,22"</formula1>
    </dataValidation>
    <dataValidation type="list" sqref="BG129">
      <formula1>",НЕТ,ДА"</formula1>
    </dataValidation>
    <dataValidation type="list" sqref="BI129">
      <formula1>",НЕТ,ДА"</formula1>
    </dataValidation>
    <dataValidation type="list" sqref="BJ129">
      <formula1>",НЕТ,ДА"</formula1>
    </dataValidation>
    <dataValidation type="list" sqref="BK129">
      <formula1>",НЕТ,ДА"</formula1>
    </dataValidation>
    <dataValidation type="list" sqref="BE130">
      <formula1>",Не облагается,10,22"</formula1>
    </dataValidation>
    <dataValidation type="list" sqref="BG130">
      <formula1>",НЕТ,ДА"</formula1>
    </dataValidation>
    <dataValidation type="list" sqref="BI130">
      <formula1>",НЕТ,ДА"</formula1>
    </dataValidation>
    <dataValidation type="list" sqref="BJ130">
      <formula1>",НЕТ,ДА"</formula1>
    </dataValidation>
    <dataValidation type="list" sqref="BK130">
      <formula1>",НЕТ,ДА"</formula1>
    </dataValidation>
    <dataValidation type="list" sqref="BE131">
      <formula1>",Не облагается,10,22"</formula1>
    </dataValidation>
    <dataValidation type="list" sqref="BG131">
      <formula1>",НЕТ,ДА"</formula1>
    </dataValidation>
    <dataValidation type="list" sqref="BI131">
      <formula1>",НЕТ,ДА"</formula1>
    </dataValidation>
    <dataValidation type="list" sqref="BJ131">
      <formula1>",НЕТ,ДА"</formula1>
    </dataValidation>
    <dataValidation type="list" sqref="BK131">
      <formula1>",НЕТ,ДА"</formula1>
    </dataValidation>
    <dataValidation type="list" sqref="BE132">
      <formula1>",Не облагается,10,22"</formula1>
    </dataValidation>
    <dataValidation type="list" sqref="BG132">
      <formula1>",НЕТ,ДА"</formula1>
    </dataValidation>
    <dataValidation type="list" sqref="BI132">
      <formula1>",НЕТ,ДА"</formula1>
    </dataValidation>
    <dataValidation type="list" sqref="BJ132">
      <formula1>",НЕТ,ДА"</formula1>
    </dataValidation>
    <dataValidation type="list" sqref="BK132">
      <formula1>",НЕТ,ДА"</formula1>
    </dataValidation>
    <dataValidation type="list" sqref="BE133">
      <formula1>",Не облагается,10,22"</formula1>
    </dataValidation>
    <dataValidation type="list" sqref="BG133">
      <formula1>",НЕТ,ДА"</formula1>
    </dataValidation>
    <dataValidation type="list" sqref="BI133">
      <formula1>",НЕТ,ДА"</formula1>
    </dataValidation>
    <dataValidation type="list" sqref="BJ133">
      <formula1>",НЕТ,ДА"</formula1>
    </dataValidation>
    <dataValidation type="list" sqref="BK133">
      <formula1>",НЕТ,ДА"</formula1>
    </dataValidation>
    <dataValidation type="list" sqref="BE134">
      <formula1>",Не облагается,10,22"</formula1>
    </dataValidation>
    <dataValidation type="list" sqref="BG134">
      <formula1>",НЕТ,ДА"</formula1>
    </dataValidation>
    <dataValidation type="list" sqref="BI134">
      <formula1>",НЕТ,ДА"</formula1>
    </dataValidation>
    <dataValidation type="list" sqref="BJ134">
      <formula1>",НЕТ,ДА"</formula1>
    </dataValidation>
    <dataValidation type="list" sqref="BK134">
      <formula1>",НЕТ,ДА"</formula1>
    </dataValidation>
    <dataValidation type="list" sqref="BE135">
      <formula1>",Не облагается,10,22"</formula1>
    </dataValidation>
    <dataValidation type="list" sqref="BG135">
      <formula1>",НЕТ,ДА"</formula1>
    </dataValidation>
    <dataValidation type="list" sqref="BI135">
      <formula1>",НЕТ,ДА"</formula1>
    </dataValidation>
    <dataValidation type="list" sqref="BJ135">
      <formula1>",НЕТ,ДА"</formula1>
    </dataValidation>
    <dataValidation type="list" sqref="BK135">
      <formula1>",НЕТ,ДА"</formula1>
    </dataValidation>
    <dataValidation type="list" sqref="BE136">
      <formula1>",Не облагается,10,22"</formula1>
    </dataValidation>
    <dataValidation type="list" sqref="BG136">
      <formula1>",НЕТ,ДА"</formula1>
    </dataValidation>
    <dataValidation type="list" sqref="BI136">
      <formula1>",НЕТ,ДА"</formula1>
    </dataValidation>
    <dataValidation type="list" sqref="BJ136">
      <formula1>",НЕТ,ДА"</formula1>
    </dataValidation>
    <dataValidation type="list" sqref="BK136">
      <formula1>",НЕТ,ДА"</formula1>
    </dataValidation>
    <dataValidation type="list" sqref="BE137">
      <formula1>",Не облагается,10,22"</formula1>
    </dataValidation>
    <dataValidation type="list" sqref="BG137">
      <formula1>",НЕТ,ДА"</formula1>
    </dataValidation>
    <dataValidation type="list" sqref="BI137">
      <formula1>",НЕТ,ДА"</formula1>
    </dataValidation>
    <dataValidation type="list" sqref="BJ137">
      <formula1>",НЕТ,ДА"</formula1>
    </dataValidation>
    <dataValidation type="list" sqref="BK137">
      <formula1>",НЕТ,ДА"</formula1>
    </dataValidation>
    <dataValidation type="list" sqref="BE138">
      <formula1>",Не облагается,10,22"</formula1>
    </dataValidation>
    <dataValidation type="list" sqref="BG138">
      <formula1>",НЕТ,ДА"</formula1>
    </dataValidation>
    <dataValidation type="list" sqref="BI138">
      <formula1>",НЕТ,ДА"</formula1>
    </dataValidation>
    <dataValidation type="list" sqref="BJ138">
      <formula1>",НЕТ,ДА"</formula1>
    </dataValidation>
    <dataValidation type="list" sqref="BK138">
      <formula1>",НЕТ,ДА"</formula1>
    </dataValidation>
    <dataValidation type="list" sqref="BE139">
      <formula1>",Не облагается,10,22"</formula1>
    </dataValidation>
    <dataValidation type="list" sqref="BG139">
      <formula1>",НЕТ,ДА"</formula1>
    </dataValidation>
    <dataValidation type="list" sqref="BI139">
      <formula1>",НЕТ,ДА"</formula1>
    </dataValidation>
    <dataValidation type="list" sqref="BJ139">
      <formula1>",НЕТ,ДА"</formula1>
    </dataValidation>
    <dataValidation type="list" sqref="BK139">
      <formula1>",НЕТ,ДА"</formula1>
    </dataValidation>
    <dataValidation type="list" sqref="BE140">
      <formula1>",Не облагается,10,22"</formula1>
    </dataValidation>
    <dataValidation type="list" sqref="BG140">
      <formula1>",НЕТ,ДА"</formula1>
    </dataValidation>
    <dataValidation type="list" sqref="BI140">
      <formula1>",НЕТ,ДА"</formula1>
    </dataValidation>
    <dataValidation type="list" sqref="BJ140">
      <formula1>",НЕТ,ДА"</formula1>
    </dataValidation>
    <dataValidation type="list" sqref="BK140">
      <formula1>",НЕТ,ДА"</formula1>
    </dataValidation>
    <dataValidation type="list" sqref="BE141">
      <formula1>",Не облагается,10,22"</formula1>
    </dataValidation>
    <dataValidation type="list" sqref="BG141">
      <formula1>",НЕТ,ДА"</formula1>
    </dataValidation>
    <dataValidation type="list" sqref="BI141">
      <formula1>",НЕТ,ДА"</formula1>
    </dataValidation>
    <dataValidation type="list" sqref="BJ141">
      <formula1>",НЕТ,ДА"</formula1>
    </dataValidation>
    <dataValidation type="list" sqref="BK141">
      <formula1>",НЕТ,ДА"</formula1>
    </dataValidation>
    <dataValidation type="list" sqref="BE142">
      <formula1>",Не облагается,10,22"</formula1>
    </dataValidation>
    <dataValidation type="list" sqref="BG142">
      <formula1>",НЕТ,ДА"</formula1>
    </dataValidation>
    <dataValidation type="list" sqref="BI142">
      <formula1>",НЕТ,ДА"</formula1>
    </dataValidation>
    <dataValidation type="list" sqref="BJ142">
      <formula1>",НЕТ,ДА"</formula1>
    </dataValidation>
    <dataValidation type="list" sqref="BK142">
      <formula1>",НЕТ,ДА"</formula1>
    </dataValidation>
    <dataValidation type="list" sqref="BE143">
      <formula1>",Не облагается,10,22"</formula1>
    </dataValidation>
    <dataValidation type="list" sqref="BG143">
      <formula1>",НЕТ,ДА"</formula1>
    </dataValidation>
    <dataValidation type="list" sqref="BI143">
      <formula1>",НЕТ,ДА"</formula1>
    </dataValidation>
    <dataValidation type="list" sqref="BJ143">
      <formula1>",НЕТ,ДА"</formula1>
    </dataValidation>
    <dataValidation type="list" sqref="BK143">
      <formula1>",НЕТ,ДА"</formula1>
    </dataValidation>
    <dataValidation type="list" sqref="BE144">
      <formula1>",Не облагается,10,22"</formula1>
    </dataValidation>
    <dataValidation type="list" sqref="BG144">
      <formula1>",НЕТ,ДА"</formula1>
    </dataValidation>
    <dataValidation type="list" sqref="BI144">
      <formula1>",НЕТ,ДА"</formula1>
    </dataValidation>
    <dataValidation type="list" sqref="BJ144">
      <formula1>",НЕТ,ДА"</formula1>
    </dataValidation>
    <dataValidation type="list" sqref="BK144">
      <formula1>",НЕТ,ДА"</formula1>
    </dataValidation>
    <dataValidation type="list" sqref="BE145">
      <formula1>",Не облагается,10,22"</formula1>
    </dataValidation>
    <dataValidation type="list" sqref="BG145">
      <formula1>",НЕТ,ДА"</formula1>
    </dataValidation>
    <dataValidation type="list" sqref="BI145">
      <formula1>",НЕТ,ДА"</formula1>
    </dataValidation>
    <dataValidation type="list" sqref="BJ145">
      <formula1>",НЕТ,ДА"</formula1>
    </dataValidation>
    <dataValidation type="list" sqref="BK145">
      <formula1>",НЕТ,ДА"</formula1>
    </dataValidation>
    <dataValidation type="list" sqref="BE146">
      <formula1>",Не облагается,10,22"</formula1>
    </dataValidation>
    <dataValidation type="list" sqref="BG146">
      <formula1>",НЕТ,ДА"</formula1>
    </dataValidation>
    <dataValidation type="list" sqref="BI146">
      <formula1>",НЕТ,ДА"</formula1>
    </dataValidation>
    <dataValidation type="list" sqref="BJ146">
      <formula1>",НЕТ,ДА"</formula1>
    </dataValidation>
    <dataValidation type="list" sqref="BK146">
      <formula1>",НЕТ,ДА"</formula1>
    </dataValidation>
    <dataValidation type="list" sqref="BE147">
      <formula1>",Не облагается,10,22"</formula1>
    </dataValidation>
    <dataValidation type="list" sqref="BG147">
      <formula1>",НЕТ,ДА"</formula1>
    </dataValidation>
    <dataValidation type="list" sqref="BI147">
      <formula1>",НЕТ,ДА"</formula1>
    </dataValidation>
    <dataValidation type="list" sqref="BJ147">
      <formula1>",НЕТ,ДА"</formula1>
    </dataValidation>
    <dataValidation type="list" sqref="BK147">
      <formula1>",НЕТ,ДА"</formula1>
    </dataValidation>
    <dataValidation type="list" sqref="BE148">
      <formula1>",Не облагается,10,22"</formula1>
    </dataValidation>
    <dataValidation type="list" sqref="BG148">
      <formula1>",НЕТ,ДА"</formula1>
    </dataValidation>
    <dataValidation type="list" sqref="BI148">
      <formula1>",НЕТ,ДА"</formula1>
    </dataValidation>
    <dataValidation type="list" sqref="BJ148">
      <formula1>",НЕТ,ДА"</formula1>
    </dataValidation>
    <dataValidation type="list" sqref="BK148">
      <formula1>",НЕТ,ДА"</formula1>
    </dataValidation>
    <dataValidation type="list" sqref="BE149">
      <formula1>",Не облагается,10,22"</formula1>
    </dataValidation>
    <dataValidation type="list" sqref="BG149">
      <formula1>",НЕТ,ДА"</formula1>
    </dataValidation>
    <dataValidation type="list" sqref="BI149">
      <formula1>",НЕТ,ДА"</formula1>
    </dataValidation>
    <dataValidation type="list" sqref="BJ149">
      <formula1>",НЕТ,ДА"</formula1>
    </dataValidation>
    <dataValidation type="list" sqref="BK149">
      <formula1>",НЕТ,ДА"</formula1>
    </dataValidation>
    <dataValidation type="list" sqref="BE150">
      <formula1>",Не облагается,10,22"</formula1>
    </dataValidation>
    <dataValidation type="list" sqref="BG150">
      <formula1>",НЕТ,ДА"</formula1>
    </dataValidation>
    <dataValidation type="list" sqref="BI150">
      <formula1>",НЕТ,ДА"</formula1>
    </dataValidation>
    <dataValidation type="list" sqref="BJ150">
      <formula1>",НЕТ,ДА"</formula1>
    </dataValidation>
    <dataValidation type="list" sqref="BK150">
      <formula1>",НЕТ,ДА"</formula1>
    </dataValidation>
    <dataValidation type="list" sqref="BE151">
      <formula1>",Не облагается,10,22"</formula1>
    </dataValidation>
    <dataValidation type="list" sqref="BG151">
      <formula1>",НЕТ,ДА"</formula1>
    </dataValidation>
    <dataValidation type="list" sqref="BI151">
      <formula1>",НЕТ,ДА"</formula1>
    </dataValidation>
    <dataValidation type="list" sqref="BJ151">
      <formula1>",НЕТ,ДА"</formula1>
    </dataValidation>
    <dataValidation type="list" sqref="BK151">
      <formula1>",НЕТ,ДА"</formula1>
    </dataValidation>
    <dataValidation type="list" sqref="BE152">
      <formula1>",Не облагается,10,22"</formula1>
    </dataValidation>
    <dataValidation type="list" sqref="BG152">
      <formula1>",НЕТ,ДА"</formula1>
    </dataValidation>
    <dataValidation type="list" sqref="BI152">
      <formula1>",НЕТ,ДА"</formula1>
    </dataValidation>
    <dataValidation type="list" sqref="BJ152">
      <formula1>",НЕТ,ДА"</formula1>
    </dataValidation>
    <dataValidation type="list" sqref="BK152">
      <formula1>",НЕТ,ДА"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